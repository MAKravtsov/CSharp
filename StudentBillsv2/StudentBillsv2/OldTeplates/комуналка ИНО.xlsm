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91" i="2" l="1"/>
  <c r="F791" i="2" s="1"/>
  <c r="E790" i="2" l="1"/>
  <c r="F790" i="2" s="1"/>
  <c r="E789" i="2" l="1"/>
  <c r="F789" i="2" s="1"/>
  <c r="V21" i="1" l="1"/>
  <c r="E776" i="2" l="1"/>
  <c r="E777" i="2"/>
  <c r="E778" i="2"/>
  <c r="E779" i="2"/>
  <c r="E780" i="2"/>
  <c r="E781" i="2"/>
  <c r="E782" i="2"/>
  <c r="E783" i="2"/>
  <c r="E784" i="2"/>
  <c r="E785" i="2"/>
  <c r="E786" i="2"/>
  <c r="E787" i="2"/>
  <c r="E788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775" i="2" l="1"/>
  <c r="E766" i="2" l="1"/>
  <c r="E767" i="2"/>
  <c r="E768" i="2"/>
  <c r="E769" i="2"/>
  <c r="E770" i="2"/>
  <c r="E771" i="2"/>
  <c r="E772" i="2"/>
  <c r="E773" i="2"/>
  <c r="E774" i="2"/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34" i="2" l="1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77" i="2"/>
  <c r="G832" i="2"/>
  <c r="G828" i="2"/>
  <c r="G824" i="2"/>
  <c r="G820" i="2"/>
  <c r="G816" i="2"/>
  <c r="G812" i="2"/>
  <c r="G808" i="2"/>
  <c r="G804" i="2"/>
  <c r="G800" i="2"/>
  <c r="G796" i="2"/>
  <c r="G792" i="2"/>
  <c r="G788" i="2"/>
  <c r="G784" i="2"/>
  <c r="G780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81" i="2"/>
  <c r="G776" i="2"/>
  <c r="G775" i="2"/>
  <c r="G774" i="2"/>
  <c r="G770" i="2"/>
  <c r="G766" i="2"/>
  <c r="G769" i="2"/>
  <c r="G773" i="2"/>
  <c r="G772" i="2"/>
  <c r="G768" i="2"/>
  <c r="G771" i="2"/>
  <c r="G767" i="2"/>
  <c r="G82" i="2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<sst xmlns="http://schemas.openxmlformats.org/spreadsheetml/2006/main" count="2470" uniqueCount="1642">
  <si>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</si>
  <si>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</si>
  <si>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</si>
  <si>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</si>
  <si>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</si>
  <si>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</si>
  <si>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</si>
  <si>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</si>
  <si>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</si>
  <si>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</si>
  <si>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</si>
  <si>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</si>
  <si>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</si>
  <si>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</si>
  <si>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</si>
  <si>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</si>
  <si>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</si>
  <si>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</si>
  <si>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</si>
  <si>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</si>
  <si>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</si>
  <si>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</si>
  <si>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</si>
  <si>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</si>
  <si>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</si>
  <si>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</si>
  <si>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</si>
  <si>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</si>
  <si>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</si>
  <si>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</si>
  <si>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</si>
  <si>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</si>
  <si>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</si>
  <si>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</si>
  <si>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</si>
  <si>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</si>
  <si>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</si>
  <si>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</si>
  <si>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</si>
  <si>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</si>
  <si>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</si>
  <si>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</si>
  <si>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</si>
  <si>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</si>
  <si>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</si>
  <si>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</si>
  <si>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</si>
  <si>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</si>
  <si>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</si>
  <si>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</si>
  <si>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</si>
  <si>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</si>
  <si>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</si>
  <si>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</si>
  <si>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</si>
  <si>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</si>
  <si>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</si>
  <si>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</si>
  <si>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</si>
  <si>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</si>
  <si>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</si>
  <si>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</si>
  <si>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</si>
  <si>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</si>
  <si>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</si>
  <si>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</si>
  <si>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</si>
  <si>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</si>
  <si>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</si>
  <si>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</si>
  <si>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</si>
  <si>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</si>
  <si>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</si>
  <si>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</si>
  <si>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</si>
  <si>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</si>
  <si>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</si>
  <si>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</si>
  <si>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</si>
  <si>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</si>
  <si>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</si>
  <si>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</si>
  <si>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</si>
  <si>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</si>
  <si>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</si>
  <si>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</si>
  <si>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</si>
  <si>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</si>
  <si>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</si>
  <si>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</si>
  <si>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</si>
  <si>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</si>
  <si>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</si>
  <si>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</si>
  <si>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</si>
  <si>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</si>
  <si>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</si>
  <si>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</si>
  <si>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</si>
  <si>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</si>
  <si>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</si>
  <si>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</si>
  <si>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</si>
  <si>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</si>
  <si>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</si>
  <si>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</si>
  <si>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</si>
  <si>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</si>
  <si>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</si>
  <si>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</si>
  <si>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</si>
  <si>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</si>
  <si>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</si>
  <si>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</si>
  <si>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</si>
  <si>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</si>
  <si>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</si>
  <si>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</si>
  <si>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</si>
  <si>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</si>
  <si>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</si>
  <si>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</si>
  <si>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</si>
  <si>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</si>
  <si>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</si>
  <si>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</si>
  <si>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</si>
  <si>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</si>
  <si>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</si>
  <si>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</si>
  <si>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</si>
  <si>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</si>
  <si>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</si>
  <si>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</si>
  <si>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</si>
  <si>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</si>
  <si>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</si>
  <si>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</si>
  <si>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</si>
  <si>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</si>
  <si>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</si>
  <si>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</si>
  <si>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</si>
  <si>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</si>
  <si>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</si>
  <si>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</si>
  <si>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</si>
  <si>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</si>
  <si>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</si>
  <si>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</si>
  <si>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</si>
  <si>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</si>
  <si>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</si>
  <si>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</si>
  <si>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</si>
  <si>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</si>
  <si>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</si>
  <si>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</si>
  <si>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</si>
  <si>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</si>
  <si>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</si>
  <si>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</si>
  <si>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</si>
  <si>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</si>
  <si>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</si>
  <si>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</si>
  <si>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</si>
  <si>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</si>
  <si>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</si>
  <si>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</si>
  <si>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</si>
  <si>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</si>
  <si>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</si>
  <si>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</si>
  <si>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</si>
  <si>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</si>
  <si>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</si>
  <si>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</si>
  <si>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</si>
  <si>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</si>
  <si>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</si>
  <si>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</si>
  <si>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</si>
  <si>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</si>
  <si>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</si>
  <si>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</si>
  <si>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</si>
  <si>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</si>
  <si>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</si>
  <si>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</si>
  <si>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</si>
  <si>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</si>
  <si>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</si>
  <si>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</si>
  <si>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</si>
  <si>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</si>
  <si>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</si>
  <si>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</si>
  <si>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</si>
  <si>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</si>
  <si>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</si>
  <si>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</si>
  <si>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</si>
  <si>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</si>
  <si>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</si>
  <si>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</si>
  <si>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</si>
  <si>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</si>
  <si>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</si>
  <si>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</si>
  <si>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</si>
  <si>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</si>
  <si>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</si>
  <si>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</si>
  <si>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</si>
  <si>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</si>
  <si>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</si>
  <si>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</si>
  <si>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</si>
  <si>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</si>
  <si>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</si>
  <si>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</si>
  <si>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</si>
  <si>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</si>
  <si>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</si>
  <si>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</si>
  <si>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</si>
  <si>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</si>
  <si>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</si>
  <si>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</si>
  <si>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</si>
  <si>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</si>
  <si>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</si>
  <si>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</si>
  <si>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</si>
  <si>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</si>
  <si>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</si>
  <si>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</si>
  <si>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</si>
  <si>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</si>
  <si>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</si>
  <si>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</si>
  <si>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</si>
  <si>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</si>
  <si>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</si>
  <si>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</si>
  <si>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</si>
  <si>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</si>
  <si>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</si>
  <si>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</si>
  <si>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</si>
  <si>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</si>
  <si>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</si>
  <si>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</si>
  <si>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</si>
  <si>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</si>
  <si>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</si>
  <si>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</si>
  <si>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</si>
  <si>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</si>
  <si>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</si>
  <si>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</si>
  <si>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</si>
  <si>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</si>
  <si>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</si>
  <si>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</si>
  <si>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</si>
  <si>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</si>
  <si>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</si>
  <si>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</si>
  <si>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</si>
  <si>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</si>
  <si>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</si>
  <si>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</si>
  <si>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</si>
  <si>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</si>
  <si>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</si>
  <si>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</si>
  <si>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</si>
  <si>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</si>
  <si>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</si>
  <si>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</si>
  <si>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</si>
  <si>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</si>
  <si>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</si>
  <si>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</si>
  <si>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</si>
  <si>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</si>
  <si>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</si>
  <si>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</si>
  <si>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</si>
  <si>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</si>
  <si>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</si>
  <si>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</si>
  <si>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</si>
  <si>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</si>
  <si>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</si>
  <si>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</si>
  <si>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</si>
  <si>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</si>
  <si>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</si>
  <si>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</si>
  <si>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</si>
  <si>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</si>
  <si>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</si>
  <si>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</si>
  <si>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</si>
  <si>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</si>
  <si>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</si>
  <si>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</si>
  <si>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</si>
  <si>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</si>
  <si>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</si>
  <si>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</si>
  <si>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</si>
  <si>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</si>
  <si>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</si>
  <si>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</si>
  <si>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</si>
  <si>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</si>
  <si>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</si>
  <si>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</si>
  <si>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</si>
  <si>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</si>
  <si>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</si>
  <si>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</si>
  <si>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</si>
  <si>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</si>
  <si>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</si>
  <si>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</si>
  <si>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</si>
  <si>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</si>
  <si>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</si>
  <si>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</si>
  <si>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</si>
  <si>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</si>
  <si>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</si>
  <si>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</si>
  <si>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</si>
  <si>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</si>
  <si>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</si>
  <si>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</si>
  <si>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</si>
  <si>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</si>
  <si>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</si>
  <si>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</si>
  <si>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</si>
  <si>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</si>
  <si>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</si>
  <si>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</si>
  <si>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</si>
  <si>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</si>
  <si>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</si>
  <si>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</si>
  <si>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</si>
  <si>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</si>
  <si>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</si>
  <si>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</si>
  <si>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</si>
  <si>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</si>
  <si>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</si>
  <si>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</si>
  <si>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</si>
  <si>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</si>
  <si>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</si>
  <si>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</si>
  <si>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</si>
  <si>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</si>
  <si>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</si>
  <si>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</si>
  <si>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</si>
  <si>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</si>
  <si>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</si>
  <si>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</si>
  <si>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</si>
  <si>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</si>
  <si>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</si>
  <si>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</si>
  <si>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</si>
  <si>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</si>
  <si>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</si>
  <si>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</si>
  <si>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</si>
  <si>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</si>
  <si>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</si>
  <si>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</si>
  <si>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</si>
  <si>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</si>
  <si>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</si>
  <si>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</si>
  <si>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</si>
  <si>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</si>
  <si>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</si>
  <si>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</si>
  <si>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</si>
  <si>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</si>
  <si>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</si>
  <si>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</si>
  <si>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</si>
  <si>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</si>
  <si>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</si>
  <si>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</si>
  <si>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</si>
  <si>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</si>
  <si>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</si>
  <si>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</si>
  <si>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</si>
  <si>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</si>
  <si>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</si>
  <si>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</si>
  <si>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</si>
  <si>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</si>
  <si>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</si>
  <si>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</si>
  <si>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</si>
  <si>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</si>
  <si>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</si>
  <si>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</si>
  <si>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</si>
  <si>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</si>
  <si>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</si>
  <si>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</si>
  <si>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</si>
  <si>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</si>
  <si>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</si>
  <si>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</si>
  <si>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</si>
  <si>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</si>
  <si>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</si>
  <si>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</si>
  <si>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</si>
  <si>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</si>
  <si>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</si>
  <si>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</si>
  <si>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</si>
  <si>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</si>
  <si>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</si>
  <si>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</si>
  <si>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</si>
  <si>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</si>
  <si>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</si>
  <si>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</si>
  <si>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</si>
  <si>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</si>
  <si>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</si>
  <si>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</si>
  <si>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</si>
  <si>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</si>
  <si>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</si>
  <si>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</si>
  <si>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</si>
  <si>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</si>
  <si>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</si>
  <si>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</si>
  <si>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</si>
  <si>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</si>
  <si>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</si>
  <si>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</si>
  <si>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</si>
  <si>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</si>
  <si>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</si>
  <si>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</si>
  <si>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</si>
  <si>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</si>
  <si>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</si>
  <si>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</si>
  <si>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</si>
  <si>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</si>
  <si>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</si>
  <si>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</si>
  <si>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</si>
  <si>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</si>
  <si>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</si>
  <si>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</si>
  <si>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</si>
  <si>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</si>
  <si>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</si>
  <si>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</si>
  <si>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</si>
  <si>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</si>
  <si>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</si>
  <si>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</si>
  <si>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</si>
  <si>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</si>
  <si>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</si>
  <si>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</si>
  <si>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</si>
  <si>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</si>
  <si>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</si>
  <si>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</si>
  <si>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</si>
  <si>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</si>
  <si>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</si>
  <si>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</si>
  <si>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</si>
  <si>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</si>
  <si>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</si>
  <si>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</si>
  <si>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</si>
  <si>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</si>
  <si>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</si>
  <si>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</si>
  <si>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</si>
  <si>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</si>
  <si>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</si>
  <si>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</si>
  <si>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</si>
  <si>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</si>
  <si>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</si>
  <si>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</si>
  <si>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</si>
  <si>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</si>
  <si>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</si>
  <si>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</si>
  <si>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</si>
  <si>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</si>
  <si>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</si>
  <si>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</si>
  <si>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</si>
  <si>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</si>
  <si>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</si>
  <si>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</si>
  <si>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</si>
  <si>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</si>
  <si>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</si>
  <si>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</si>
  <si>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</si>
  <si>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</si>
  <si>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</si>
  <si>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</si>
  <si>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</si>
  <si>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</si>
  <si>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</si>
  <si>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</si>
  <si>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</si>
  <si>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</si>
  <si>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</si>
  <si>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</si>
  <si>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</si>
  <si>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</si>
  <si>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</si>
  <si>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</si>
  <si>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</si>
  <si>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</si>
  <si>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</si>
  <si>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</si>
  <si>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</si>
  <si>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</si>
  <si>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</si>
  <si>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</si>
  <si>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</si>
  <si>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</si>
  <si>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</si>
  <si>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</si>
  <si>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</si>
  <si>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</si>
  <si>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</si>
  <si>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</si>
  <si>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</si>
  <si>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</si>
  <si>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</si>
  <si>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</si>
  <si>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</si>
  <si>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</si>
  <si>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</si>
  <si>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</si>
  <si>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</si>
  <si>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</si>
  <si>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</si>
  <si>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</si>
  <si>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</si>
  <si>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</si>
  <si>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</si>
  <si>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</si>
  <si>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</si>
  <si>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</si>
  <si>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</si>
  <si>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</si>
  <si>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</si>
  <si>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</si>
  <si>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</si>
  <si>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</si>
  <si>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</si>
  <si>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</si>
  <si>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</si>
  <si>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</si>
  <si>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</si>
  <si>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</si>
  <si>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</si>
  <si>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</si>
  <si>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</si>
  <si>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</si>
  <si>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</si>
  <si>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</si>
  <si>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</si>
  <si>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</si>
  <si>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</si>
  <si>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</si>
  <si>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</si>
  <si>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</si>
  <si>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</si>
  <si>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</si>
  <si>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</si>
  <si>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</si>
  <si>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</si>
  <si>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</si>
  <si>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</si>
  <si>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</si>
  <si>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</si>
  <si>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</si>
  <si>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</si>
  <si>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</si>
  <si>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</si>
  <si>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</si>
  <si>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</si>
  <si>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</si>
  <si>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</si>
  <si>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</si>
  <si>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</si>
  <si>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</si>
  <si>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</si>
  <si>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</si>
  <si>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</si>
  <si>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</si>
  <si>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</si>
  <si>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</si>
  <si>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</si>
  <si>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</si>
  <si>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</si>
  <si>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</si>
  <si>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</si>
  <si>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</si>
  <si>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</si>
  <si>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</si>
  <si>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</si>
  <si>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</si>
  <si>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</si>
  <si>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</si>
  <si>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</si>
  <si>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</si>
  <si>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</si>
  <si>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</si>
  <si>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</si>
  <si>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</si>
  <si>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</si>
  <si>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</si>
  <si>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</si>
  <si>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</si>
  <si>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</si>
  <si>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</si>
  <si>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</si>
  <si>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</si>
  <si>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</si>
  <si>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</si>
  <si>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</si>
  <si>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</si>
  <si>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</si>
  <si>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</si>
  <si>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</si>
  <si>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</si>
  <si>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</si>
  <si>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</si>
  <si>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</si>
  <si>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</si>
  <si>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</si>
  <si>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</si>
  <si>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</si>
  <si>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</si>
  <si>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</si>
  <si>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</si>
  <si>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</si>
  <si>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</si>
  <si>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</si>
  <si>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</si>
  <si>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</si>
  <si>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</si>
  <si>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</si>
  <si>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</si>
  <si>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</si>
  <si>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</si>
  <si>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</si>
  <si>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</si>
  <si>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</si>
  <si>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</si>
  <si>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</si>
  <si>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</si>
  <si>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</si>
  <si>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</si>
  <si>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</si>
  <si>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</si>
  <si>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</si>
  <si>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</si>
  <si>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</si>
  <si>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</si>
  <si>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</si>
  <si>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</si>
  <si>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</si>
  <si>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</si>
  <si>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</si>
  <si>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</si>
  <si>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</si>
  <si>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</si>
  <si>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</si>
  <si>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</si>
  <si>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</si>
  <si>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</si>
  <si>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</si>
  <si>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</si>
  <si>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</si>
  <si>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</si>
  <si>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</si>
  <si>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</si>
  <si>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</si>
  <si>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</si>
  <si>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</si>
  <si>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</si>
  <si>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</si>
  <si>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</si>
  <si>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</si>
  <si>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</si>
  <si>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</si>
  <si>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</si>
  <si>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</si>
  <si>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</si>
  <si>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</si>
  <si>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</si>
  <si>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</si>
  <si>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</si>
  <si>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</si>
  <si>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</si>
  <si>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</si>
  <si>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</si>
  <si>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</si>
  <si>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</si>
  <si>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</si>
  <si>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</si>
  <si>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</si>
  <si>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</si>
  <si>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</si>
  <si>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</si>
  <si>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</si>
  <si>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</si>
  <si>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</si>
  <si>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</si>
  <si>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</si>
  <si>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</si>
  <si>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</si>
  <si>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</si>
  <si>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</si>
  <si>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</si>
  <si>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</si>
  <si>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</si>
  <si>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</si>
  <si>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</si>
  <si>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</si>
  <si>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</si>
  <si>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</si>
  <si>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</si>
  <si>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</si>
  <si>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</si>
  <si>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</si>
  <si>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</si>
  <si>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</si>
  <si>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</si>
  <si>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</si>
  <si>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</si>
  <si>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</si>
  <si>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</si>
  <si>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</si>
  <si>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</si>
  <si>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</si>
  <si>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</si>
  <si>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</si>
  <si>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</si>
  <si>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</si>
  <si>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</si>
  <si>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</si>
  <si>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</si>
  <si>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</si>
  <si>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</si>
  <si>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</si>
  <si>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</si>
  <si>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</si>
  <si>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</si>
  <si>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</si>
  <si>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</si>
  <si>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</si>
  <si>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</si>
  <si>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</si>
  <si>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</si>
  <si>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</si>
  <si>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</si>
  <si>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</si>
  <si>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</si>
  <si>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</si>
  <si>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</si>
  <si>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</si>
  <si>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</si>
  <si>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</si>
  <si>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</si>
  <si>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</si>
  <si>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</si>
  <si>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</si>
  <si>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</si>
  <si>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</si>
  <si>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</si>
  <si>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</si>
  <si>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</si>
  <si>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</si>
  <si>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</si>
  <si>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</si>
  <si>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</si>
  <si>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</si>
  <si>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</si>
  <si>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</si>
  <si>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</si>
  <si>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</si>
  <si>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</si>
  <si>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</si>
  <si>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</si>
  <si>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</si>
  <si>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</si>
  <si>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</si>
  <si>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</si>
  <si>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</si>
  <si>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</si>
  <si>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</si>
  <si>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</si>
  <si>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</si>
  <si>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</si>
  <si>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</si>
  <si>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</si>
  <si>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</si>
  <si>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</si>
  <si>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</si>
  <si>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</si>
  <si>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</si>
  <si>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</si>
  <si>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</si>
  <si>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</si>
  <si>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</si>
  <si>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</si>
  <si>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</si>
  <si>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</si>
  <si>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</si>
  <si>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</si>
  <si>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</si>
  <si>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</si>
  <si>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</si>
  <si>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</si>
  <si>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</si>
  <si>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</si>
  <si>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</si>
  <si>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</si>
  <si>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</si>
  <si>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</si>
  <si>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</si>
  <si>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</si>
  <si>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</si>
  <si>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</si>
  <si>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</si>
  <si>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</si>
  <si>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</si>
  <si>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</si>
  <si>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</si>
  <si>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</si>
  <si>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</si>
  <si>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</si>
  <si>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</si>
  <si>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</si>
  <si>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</si>
  <si>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</si>
  <si>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</si>
  <si>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</si>
  <si>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</si>
  <si>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</si>
  <si>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</si>
  <si>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</si>
  <si>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</si>
  <si>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</si>
  <si>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</si>
  <si>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</si>
  <si>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</si>
  <si>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</si>
  <si>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</si>
  <si>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</si>
  <si>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</si>
  <si>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</si>
  <si>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</si>
  <si>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</si>
  <si>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</si>
  <si>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</si>
  <si>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</si>
  <si>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</si>
  <si>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</si>
  <si>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</si>
  <si>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</si>
  <si>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</si>
  <si>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</si>
  <si>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</si>
  <si>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</si>
  <si>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</si>
  <si>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</si>
  <si>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</si>
  <si>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</si>
  <si>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</si>
  <si>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</si>
  <si>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</si>
  <si>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</si>
  <si>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</si>
  <si>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</si>
  <si>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</si>
  <si>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</si>
  <si>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</si>
  <si>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</si>
  <si>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</si>
  <si>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</si>
  <si>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</si>
  <si>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</si>
  <si>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</si>
  <si>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</si>
  <si>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</si>
  <si>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</si>
  <si>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</si>
  <si>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</si>
  <si>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</si>
  <si>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</si>
  <si>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</si>
  <si>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</si>
  <si>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</si>
  <si>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</si>
  <si>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</si>
  <si>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</si>
  <si>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</si>
  <si>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</si>
  <si>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</si>
  <si>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</si>
  <si>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</si>
  <si>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</si>
  <si>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</si>
  <si>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</si>
  <si>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</si>
  <si>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</si>
  <si>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</si>
  <si>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</si>
  <si>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</si>
  <si>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</si>
  <si>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</si>
  <si>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</si>
  <si>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</si>
  <si>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</si>
  <si>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</si>
  <si>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</si>
  <si>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</si>
  <si>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</si>
  <si>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</si>
  <si>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</si>
  <si>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</si>
  <si>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</si>
  <si>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</si>
  <si>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</si>
  <si>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</si>
  <si>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</si>
  <si>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</si>
  <si>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</si>
  <si>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</si>
  <si>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</si>
  <si>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</si>
  <si>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</si>
  <si>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</si>
  <si>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</si>
  <si>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</si>
  <si>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</si>
  <si>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</si>
  <si>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</si>
  <si>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</si>
  <si>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</si>
  <si>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</si>
  <si>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</si>
  <si>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</si>
  <si>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</si>
  <si>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</si>
  <si>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</si>
  <si>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</si>
  <si>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</si>
  <si>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</si>
  <si>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</si>
  <si>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</si>
  <si>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</si>
  <si>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</si>
  <si>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</si>
  <si>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</si>
  <si>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</si>
  <si>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</si>
  <si>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</si>
  <si>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</si>
  <si>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</si>
  <si>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</si>
  <si>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</si>
  <si>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</si>
  <si>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</si>
  <si>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</si>
  <si>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</si>
  <si>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</si>
  <si>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</si>
  <si>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</si>
  <si>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</si>
  <si>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</si>
  <si>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</si>
  <si>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</si>
  <si>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</si>
  <si>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</si>
  <si>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</si>
  <si>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</si>
  <si>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</si>
  <si>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</si>
  <si>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</si>
  <si>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</si>
  <si>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</si>
  <si>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</si>
  <si>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</si>
  <si>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</si>
  <si>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</si>
  <si>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</si>
  <si>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</si>
  <si>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</si>
  <si>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</si>
  <si>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</si>
  <si>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</si>
  <si>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</si>
  <si>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</si>
  <si>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</si>
  <si>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</si>
  <si>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</si>
  <si>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</si>
  <si>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</si>
  <si>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</si>
  <si>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</si>
  <si>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</si>
  <si>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</si>
  <si>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</si>
  <si>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</si>
  <si>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</si>
  <si>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</si>
  <si>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</si>
  <si>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</si>
  <si>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</si>
  <si>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</si>
  <si>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</si>
  <si>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</si>
  <si>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</si>
  <si>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</si>
  <si>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</si>
  <si>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</si>
  <si>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</si>
  <si>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</si>
  <si>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</si>
  <si>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</si>
  <si>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</si>
  <si>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</si>
  <si>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</si>
  <si>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</si>
  <si>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</si>
  <si>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</si>
  <si>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</si>
  <si>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</si>
  <si>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</si>
  <si>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</si>
  <si>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</si>
  <si>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</si>
  <si>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</si>
  <si>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</si>
  <si>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</si>
  <si>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</si>
  <si>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</si>
  <si>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</si>
  <si>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</si>
  <si>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</si>
  <si>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</si>
  <si>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</si>
  <si>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</si>
  <si>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</si>
  <si>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</si>
  <si>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</si>
  <si>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</si>
  <si>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</si>
  <si>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</si>
  <si>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</si>
  <si>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</si>
  <si>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</si>
  <si>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</si>
  <si>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</si>
  <si>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</si>
  <si>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</si>
  <si>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</si>
  <si>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</si>
  <si>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</si>
  <si>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</si>
  <si>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</si>
  <si>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</si>
  <si>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</si>
  <si>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</si>
  <si>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</si>
  <si>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</si>
  <si>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</si>
  <si>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</si>
  <si>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</si>
  <si>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</si>
  <si>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</si>
  <si>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</si>
  <si>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</si>
  <si>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</si>
  <si>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</si>
  <si>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</si>
  <si>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</si>
  <si>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</si>
  <si>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</si>
  <si>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</si>
  <si>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</si>
  <si>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</si>
  <si>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</si>
  <si>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</si>
  <si>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</si>
  <si>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</si>
  <si>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</si>
  <si>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</si>
  <si>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</si>
  <si>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</si>
  <si>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</si>
  <si>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</si>
  <si>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</si>
  <si>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</si>
  <si>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</si>
  <si>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</si>
  <si>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</si>
  <si>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</si>
  <si>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</si>
  <si>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</si>
  <si>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</si>
  <si>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</si>
  <si>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</si>
  <si>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</si>
  <si>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</si>
  <si>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</si>
  <si>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</si>
  <si>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</si>
  <si>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</si>
  <si>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</si>
  <si>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</si>
  <si>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</si>
  <si>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</si>
  <si>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</si>
  <si>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</si>
  <si>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</si>
  <si>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</si>
  <si>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</si>
  <si>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</si>
  <si>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</si>
  <si>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</si>
  <si>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</si>
  <si>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</si>
  <si>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</si>
  <si>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</si>
  <si>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</si>
  <si>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</si>
  <si>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</si>
  <si>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</si>
  <si>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</si>
  <si>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</si>
  <si>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</si>
  <si>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</si>
  <si>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</si>
  <si>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</si>
  <si>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</si>
  <si>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</si>
  <si>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</si>
  <si>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</si>
  <si>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</si>
  <si>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</si>
  <si>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</si>
  <si>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</si>
  <si>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</si>
  <si>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</si>
  <si>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</si>
  <si>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</si>
  <si>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</si>
  <si>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</si>
  <si>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</si>
  <si>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</si>
  <si>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</si>
  <si>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</si>
  <si>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</si>
  <si>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</si>
  <si>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</si>
  <si>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</si>
  <si>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</si>
  <si>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</si>
  <si>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</si>
  <si>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</si>
  <si>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</si>
  <si>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</si>
  <si>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</si>
  <si>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</si>
  <si>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</si>
  <si>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</si>
  <si>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</si>
  <si>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</si>
  <si>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</si>
  <si>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</si>
  <si>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</si>
  <si>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</si>
  <si>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</si>
  <si>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</si>
  <si>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</si>
  <si>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</si>
  <si>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</si>
  <si>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</si>
  <si>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</si>
  <si>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</si>
  <si>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</si>
  <si>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</si>
  <si>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</si>
  <si>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</si>
  <si>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</si>
  <si>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</si>
  <si>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</si>
  <si>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</si>
  <si>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</si>
  <si>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</si>
  <si>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</si>
  <si>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</si>
  <si>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</si>
  <si>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</si>
  <si>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</si>
  <si>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</si>
  <si>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</si>
  <si>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</si>
  <si>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</si>
  <si>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</si>
  <si>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</si>
  <si>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</si>
  <si>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</si>
  <si>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</si>
  <si>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</si>
  <si>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</si>
  <si>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</si>
  <si>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</si>
  <si>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</si>
  <si>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</si>
  <si>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</si>
  <si>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</si>
  <si>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</si>
  <si>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</si>
  <si>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</si>
  <si>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</si>
  <si>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</si>
  <si>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</si>
  <si>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</si>
  <si>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</si>
  <si>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</si>
  <si>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</si>
  <si>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</si>
  <si>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</si>
  <si>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</si>
  <si>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</si>
  <si>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</si>
  <si>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</si>
  <si>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</si>
  <si>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</si>
  <si>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</si>
  <si>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</si>
  <si>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</si>
  <si>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</si>
  <si>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</si>
  <si>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</si>
  <si>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</si>
  <si>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</si>
  <si>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</si>
  <si>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</si>
  <si>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</si>
  <si>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</si>
  <si>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</si>
  <si>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</si>
  <si>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</si>
  <si>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</si>
  <si>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</si>
  <si>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</si>
  <si>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</si>
  <si>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</si>
  <si>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</si>
  <si>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</si>
  <si>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</si>
  <si>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</si>
  <si>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</si>
  <si>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</si>
  <si>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</si>
  <si>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</si>
  <si>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</si>
  <si>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</si>
  <si>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</si>
  <si>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</si>
  <si>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</si>
  <si>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</si>
  <si>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</si>
  <si>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</si>
  <si>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</si>
  <si>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</si>
  <si>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</si>
  <si>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</si>
  <si>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</si>
  <si>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</si>
  <si>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</si>
  <si>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</si>
  <si>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</si>
  <si>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</si>
  <si>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</si>
  <si>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</si>
  <si>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</si>
  <si>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</si>
  <si>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</si>
  <si>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</si>
  <si>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</si>
  <si>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</si>
  <si>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</si>
  <si>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</si>
  <si>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</si>
  <si>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</si>
  <si>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</si>
  <si>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</si>
  <si>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</si>
  <si>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</si>
  <si>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</si>
  <si>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</si>
  <si>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</si>
  <si>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</si>
  <si>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</si>
  <si>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</si>
  <si>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</si>
  <si>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</si>
  <si>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</si>
  <si>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</si>
  <si>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</si>
  <si>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</si>
  <si>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</si>
  <si>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</si>
  <si>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</si>
  <si>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</si>
  <si>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</si>
  <si>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</si>
  <si>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</si>
  <si>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</si>
  <si>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</si>
  <si>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</si>
  <si>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</si>
  <si>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</si>
  <si>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</si>
  <si>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</si>
  <si>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</si>
  <si>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</si>
  <si>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</si>
  <si>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</si>
  <si>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</si>
  <si>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</si>
  <si>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</si>
  <si>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</si>
  <si>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</si>
  <si>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</si>
  <si>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</si>
  <si>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</si>
  <si>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</si>
  <si>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</si>
  <si>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</si>
  <si>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</si>
  <si>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</si>
  <si>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</si>
  <si>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</si>
  <si>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</si>
  <si>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</si>
  <si>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</si>
  <si>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</si>
  <si>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</si>
  <si>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</si>
  <si>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</si>
  <si>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</si>
  <si>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</si>
  <si>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</si>
  <si>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</si>
  <si>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</si>
  <si>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</si>
  <si>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</si>
  <si>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</si>
  <si>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</si>
  <si>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</si>
  <si>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</si>
  <si>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</si>
  <si>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</si>
  <si>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</si>
  <si>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</si>
  <si>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</si>
  <si>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</si>
  <si>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</si>
  <si>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</si>
  <si>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</si>
  <si>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</si>
  <si>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</si>
  <si>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</si>
  <si>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</si>
  <si>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</si>
  <si>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</si>
  <si>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</si>
  <si>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</si>
  <si>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</si>
  <si>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</si>
  <si>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</si>
  <si>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</si>
  <si>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</si>
  <si>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</si>
  <si>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</si>
  <si>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</si>
  <si>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</si>
  <si>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</si>
  <si>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</si>
  <si>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</si>
  <si>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</si>
  <si>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</si>
  <si>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</si>
  <si>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</si>
  <si>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</si>
  <si>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</si>
  <si>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</si>
  <si>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</si>
  <si>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</si>
  <si>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</si>
  <si>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</si>
  <si>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</si>
  <si>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</si>
  <si>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</si>
  <si>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</si>
  <si>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</si>
  <si>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</si>
  <si>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</si>
  <si>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</si>
  <si>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</si>
  <si>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</si>
  <si>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</si>
  <si>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</si>
  <si>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</si>
  <si>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</si>
  <si>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</si>
  <si>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</si>
  <si>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</si>
  <si>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</si>
  <si>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</si>
  <si>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</si>
  <si>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</si>
  <si>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</si>
  <si>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</si>
  <si>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</si>
  <si>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</si>
  <si>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</si>
  <si>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</si>
  <si>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</si>
  <si>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</si>
  <si>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</si>
  <si>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</si>
  <si>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</si>
  <si>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</si>
  <si>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</si>
  <si>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</si>
  <si>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</si>
  <si>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</si>
  <si>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</si>
  <si>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</si>
  <si>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</si>
  <si>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</si>
  <si>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</si>
  <si>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</si>
  <si>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</si>
  <si>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</si>
  <si>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</si>
  <si>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</si>
  <si>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</si>
  <si>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</si>
  <si>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</si>
  <si>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</si>
  <si>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</si>
  <si>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</si>
  <si>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</si>
  <si>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</si>
  <si>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</si>
  <si>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</si>
  <si>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</si>
  <si>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</si>
  <si>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</si>
  <si>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</si>
  <si>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</si>
  <si>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</si>
  <si>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</si>
  <si>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</si>
  <si>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</si>
  <si>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</si>
  <si>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</si>
  <si>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</si>
  <si>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</si>
  <si>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</si>
  <si>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</si>
  <si>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</si>
  <si>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</si>
  <si>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</si>
  <si>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</si>
  <si>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</si>
  <si>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</si>
  <si>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6-19РМ009/2019</t>
  </si>
  <si>
    <t>Деева Маргарита Андреевна</t>
  </si>
  <si>
    <t>6-19РМ031/2019</t>
  </si>
  <si>
    <t>Власевский Владимир Николаевич</t>
  </si>
  <si>
    <t>6-17М239/2019</t>
  </si>
  <si>
    <t>Андрющенко Артур Павлович</t>
  </si>
  <si>
    <t>6-19мм076/2019</t>
  </si>
  <si>
    <t>Нахушева Алёна Суфьяновна</t>
  </si>
  <si>
    <t>Игнатов Павел Ильич</t>
  </si>
  <si>
    <t>6-19ММ044/2019</t>
  </si>
  <si>
    <t>6-19Ю010/2019</t>
  </si>
  <si>
    <t>Леонова Елизавета Геннадьевна</t>
  </si>
  <si>
    <t>6-19ИР22/2019</t>
  </si>
  <si>
    <t xml:space="preserve">Цзян Цзиньлун </t>
  </si>
  <si>
    <t>6-19ИР20/2019</t>
  </si>
  <si>
    <t xml:space="preserve">СУ Цзяци </t>
  </si>
  <si>
    <t>6-19ИР21/2019</t>
  </si>
  <si>
    <t xml:space="preserve">Чжао Пэн </t>
  </si>
  <si>
    <t>6-19ИР23/2019</t>
  </si>
  <si>
    <t xml:space="preserve">У Сивэй </t>
  </si>
  <si>
    <t>6-19ИР24/2019</t>
  </si>
  <si>
    <t xml:space="preserve">Ван Тяньци </t>
  </si>
  <si>
    <t>6-19ИР08/2019</t>
  </si>
  <si>
    <t>Ву Кыонг Тхинь</t>
  </si>
  <si>
    <t>6-19ИР10/2019</t>
  </si>
  <si>
    <t>Фам Минь  Кханг</t>
  </si>
  <si>
    <t>6-19М618/2019</t>
  </si>
  <si>
    <t>Гужва  Дмитрий Вадимович</t>
  </si>
  <si>
    <t>6-19М616/2019</t>
  </si>
  <si>
    <t>Ковальчук Евгений Михайлович</t>
  </si>
  <si>
    <t>6-19М345/2019</t>
  </si>
  <si>
    <t>Михайлов Даниил Алексеевич</t>
  </si>
  <si>
    <t>6-19М347/2019</t>
  </si>
  <si>
    <t>Михайлов Илья Алексеевич</t>
  </si>
  <si>
    <t>6-19РМ703/2019</t>
  </si>
  <si>
    <t xml:space="preserve">Яушев Рустем </t>
  </si>
  <si>
    <t>6-19Ю002/2019</t>
  </si>
  <si>
    <t>Емельянова Екатерина Валерьевна</t>
  </si>
  <si>
    <t>6-19ИМ10/2019</t>
  </si>
  <si>
    <t xml:space="preserve">Кабрера Седеньо Марко Антони </t>
  </si>
  <si>
    <t>6-17М328/2019</t>
  </si>
  <si>
    <t>Корнев Данил Александрович</t>
  </si>
  <si>
    <t>Гусакова Алевтина  Андреевна</t>
  </si>
  <si>
    <t>6-15Ю114/2019</t>
  </si>
  <si>
    <t>6-18Р135/2019</t>
  </si>
  <si>
    <t>Ботвинникова Анастасия Антоновна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</si>
  <si>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</si>
  <si>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</si>
  <si>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</si>
  <si>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</si>
  <si>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6-ECU-530319/2019</t>
  </si>
  <si>
    <t>Пильяхо Корелья Борис Марсело</t>
  </si>
  <si>
    <t>6-16М294/2019</t>
  </si>
  <si>
    <t>Даукаев Руслан Ильнурович</t>
  </si>
  <si>
    <t>е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</si>
  <si>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</si>
  <si>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</si>
  <si>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</si>
  <si>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</si>
  <si>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</si>
  <si>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</si>
  <si>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</si>
  <si>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</si>
  <si>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</si>
  <si>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</si>
  <si>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</si>
  <si>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</si>
  <si>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</si>
  <si>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</si>
  <si>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</si>
  <si>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</si>
  <si>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</si>
  <si>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</si>
  <si>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</si>
  <si>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</si>
  <si>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</si>
  <si>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</si>
  <si>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</si>
  <si>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</si>
  <si>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</si>
  <si>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</si>
  <si>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</si>
  <si>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</si>
  <si>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</si>
  <si>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</si>
  <si>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</si>
  <si>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</si>
  <si>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</si>
  <si>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</si>
  <si>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</si>
  <si>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</si>
  <si>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</si>
  <si>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</si>
  <si>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</si>
  <si>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</si>
  <si>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</si>
  <si>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</si>
  <si>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6-16Р224/2019</t>
  </si>
  <si>
    <t>Кожевников Дмитрий Евгеньевич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</si>
  <si>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</si>
  <si>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</si>
  <si>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</si>
  <si>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</si>
  <si>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</si>
  <si>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6-15Ю051/2019</t>
  </si>
  <si>
    <t>Ганиева Элина Айдаровна</t>
  </si>
  <si>
    <t>6-18Р179/2019</t>
  </si>
  <si>
    <t>Крехтунова Дарья Дмитриевна</t>
  </si>
  <si>
    <t>6-16М379/2019</t>
  </si>
  <si>
    <t>Надоров Иван Васильевич</t>
  </si>
  <si>
    <t>6-17М164/2019</t>
  </si>
  <si>
    <t>Рудь Дмитрий Вячеславович</t>
  </si>
  <si>
    <t>6-18М621/2019</t>
  </si>
  <si>
    <t>Торгомян Давит Артаваздович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</si>
  <si>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</si>
  <si>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</si>
  <si>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</si>
  <si>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</si>
  <si>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</si>
  <si>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</si>
  <si>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</si>
  <si>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</si>
  <si>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Э-19Р121/2019</t>
  </si>
  <si>
    <t>Э-19Р062/2019</t>
  </si>
  <si>
    <t>Пупкин  Максим Шмарович</t>
  </si>
  <si>
    <t>МГТУ им. Н.Э. Баумана;40503810738000000015;ПАО СБЕРБАНК;044525225;30101810400000000225;{VO20100};001;НЕРЕЗИДЕНТЫ - ПЛАТНЫЕ УСЛУГИ;</t>
  </si>
  <si>
    <t>{VO20100}Опл.по дог.найма (ком.усл.).за пер.:с 01.09.20 по 28.02.21,в т.ч. НДС 757</t>
  </si>
  <si>
    <t xml:space="preserve">Ван Сюаньхэ </t>
  </si>
  <si>
    <t>6-17ИМ66/2017</t>
  </si>
  <si>
    <t>ST00012|Name=МГТУ им. Н.Э. Баумана|PersonalAcc=40503810738000000015|BankName=ПАО СБЕРБАНК|BIC=044525225|CorrespAcc=30101810400000000225|Sum=454200|Purpose={VO20100}Опл.по дог.найма (ком.усл.).за пер.:с 01.09.20 по 28.02.21,в т.ч. НДС 757,№6,Dog,ИстКод 112755|PayeeINN=7701002520|KPP=770101001|CBC=|OKTMO=45375000|Contract=6-17ИМ66/2017|ChildFIO=Ван Сюаньхэ 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</si>
</sst>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sBills\StudentsBills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6</xdr:row>
          <xdr:rowOff>133350</xdr:rowOff>
        </xdr:from>
        <xdr:to>
          <xdr:col>19</xdr:col>
          <xdr:colOff>1504950</xdr:colOff>
          <xdr:row>9</xdr:row>
          <xdr:rowOff>85725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17</xdr:row>
          <xdr:rowOff>85725</xdr:rowOff>
        </xdr:from>
        <xdr:to>
          <xdr:col>22</xdr:col>
          <xdr:colOff>695325</xdr:colOff>
          <xdr:row>20</xdr:row>
          <xdr:rowOff>47625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8"/>
      <c r="M1" s="108"/>
      <c r="N1" s="108"/>
    </row>
    <row r="2" spans="2:26" s="13" customFormat="1" ht="20.45" customHeight="1" thickBot="1" x14ac:dyDescent="0.25">
      <c r="B2" s="110" t="s">
        <v>1201</v>
      </c>
      <c r="C2" s="111"/>
      <c r="D2" s="112"/>
      <c r="E2" s="112"/>
      <c r="F2" s="112"/>
      <c r="G2" s="112"/>
      <c r="H2" s="112"/>
      <c r="I2" s="113"/>
      <c r="K2" s="109"/>
      <c r="L2" s="109"/>
      <c r="M2" s="109"/>
      <c r="N2" s="109"/>
    </row>
    <row r="3" spans="2:26" ht="16.5" thickBot="1" x14ac:dyDescent="0.3">
      <c r="K3" s="121" t="s">
        <v>50</v>
      </c>
      <c r="L3" s="122"/>
      <c r="M3" s="122"/>
      <c r="N3" s="122"/>
    </row>
    <row r="4" spans="2:26" x14ac:dyDescent="0.2">
      <c r="B4" s="1"/>
      <c r="C4" s="2"/>
      <c r="D4" s="123" t="s">
        <v>1200</v>
      </c>
      <c r="E4" s="124"/>
      <c r="F4" s="124"/>
      <c r="G4" s="117"/>
      <c r="H4" s="117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0" t="s">
        <v>1</v>
      </c>
      <c r="C5" s="80"/>
      <c r="D5" s="119" t="s">
        <v>51</v>
      </c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2:26" x14ac:dyDescent="0.2">
      <c r="B6" s="4"/>
      <c r="C6" s="5"/>
      <c r="D6" s="120" t="s">
        <v>2</v>
      </c>
      <c r="E6" s="120"/>
      <c r="F6" s="120"/>
      <c r="G6" s="120"/>
      <c r="H6" s="120"/>
      <c r="I6" s="120"/>
      <c r="J6" s="120"/>
      <c r="K6" s="120"/>
      <c r="L6" s="120"/>
      <c r="M6" s="120"/>
      <c r="N6" s="120"/>
    </row>
    <row r="7" spans="2:26" ht="15" x14ac:dyDescent="0.25">
      <c r="B7" s="4"/>
      <c r="C7" s="34"/>
      <c r="D7" s="96" t="s">
        <v>24</v>
      </c>
      <c r="E7" s="96"/>
      <c r="F7" s="96"/>
      <c r="G7" s="96"/>
      <c r="H7" s="96"/>
      <c r="K7" s="87" t="s">
        <v>26</v>
      </c>
      <c r="L7" s="87"/>
      <c r="M7" s="87"/>
      <c r="N7" s="87"/>
    </row>
    <row r="8" spans="2:26" x14ac:dyDescent="0.2">
      <c r="B8" s="4"/>
      <c r="C8" s="5"/>
      <c r="D8" s="84" t="s">
        <v>3</v>
      </c>
      <c r="E8" s="84"/>
      <c r="F8" s="84"/>
      <c r="G8" s="84"/>
      <c r="H8" s="84"/>
      <c r="K8" s="85" t="s">
        <v>4</v>
      </c>
      <c r="L8" s="85"/>
      <c r="M8" s="85"/>
      <c r="N8" s="85"/>
    </row>
    <row r="9" spans="2:26" ht="14.45" customHeight="1" x14ac:dyDescent="0.25">
      <c r="B9" s="4"/>
      <c r="C9" s="5"/>
      <c r="D9" s="96" t="s">
        <v>25</v>
      </c>
      <c r="E9" s="97"/>
      <c r="F9" s="97"/>
      <c r="G9" s="97"/>
      <c r="H9" s="97"/>
      <c r="K9" s="86" t="s">
        <v>23</v>
      </c>
      <c r="L9" s="86"/>
      <c r="M9" s="86"/>
      <c r="N9" s="87"/>
    </row>
    <row r="10" spans="2:26" x14ac:dyDescent="0.2">
      <c r="B10" s="4"/>
      <c r="C10" s="5"/>
      <c r="D10" s="89" t="s">
        <v>19</v>
      </c>
      <c r="E10" s="90"/>
      <c r="F10" s="90"/>
      <c r="G10" s="90"/>
      <c r="H10" s="90"/>
      <c r="K10" s="90" t="s">
        <v>20</v>
      </c>
      <c r="L10" s="90"/>
      <c r="M10" s="90"/>
      <c r="N10" s="118"/>
    </row>
    <row r="11" spans="2:26" ht="15" x14ac:dyDescent="0.25">
      <c r="B11" s="4"/>
      <c r="C11" s="5"/>
      <c r="D11" s="94" t="s">
        <v>49</v>
      </c>
      <c r="E11" s="86"/>
      <c r="F11" s="86"/>
      <c r="G11" s="86"/>
      <c r="H11" s="86"/>
      <c r="K11" s="19"/>
      <c r="L11" s="18"/>
      <c r="M11" s="18"/>
      <c r="N11" s="17"/>
    </row>
    <row r="12" spans="2:26" x14ac:dyDescent="0.2">
      <c r="B12" s="4"/>
      <c r="C12" s="5"/>
      <c r="D12" s="89" t="s">
        <v>21</v>
      </c>
      <c r="E12" s="90"/>
      <c r="F12" s="90"/>
      <c r="G12" s="90"/>
      <c r="H12" s="90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6" t="s">
        <v>27</v>
      </c>
      <c r="F13" s="86"/>
      <c r="G13" s="86"/>
      <c r="H13" s="86"/>
      <c r="I13" s="86"/>
      <c r="J13" s="86"/>
      <c r="K13" s="86"/>
      <c r="L13" s="7" t="s">
        <v>6</v>
      </c>
      <c r="M13" s="87" t="s">
        <v>28</v>
      </c>
      <c r="N13" s="87"/>
    </row>
    <row r="14" spans="2:26" ht="12" thickBot="1" x14ac:dyDescent="0.25">
      <c r="B14" s="4"/>
      <c r="C14" s="5"/>
      <c r="D14" s="4"/>
      <c r="E14" s="100" t="s">
        <v>7</v>
      </c>
      <c r="F14" s="100"/>
      <c r="G14" s="100"/>
      <c r="H14" s="100"/>
      <c r="I14" s="100"/>
      <c r="J14" s="100"/>
      <c r="K14" s="100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95" t="s">
        <v>8</v>
      </c>
      <c r="E15" s="95"/>
      <c r="F15" s="95"/>
      <c r="G15" s="95"/>
      <c r="H15" s="7"/>
      <c r="I15" s="87" t="s">
        <v>29</v>
      </c>
      <c r="J15" s="87"/>
      <c r="K15" s="87"/>
      <c r="L15" s="87"/>
      <c r="M15" s="87"/>
      <c r="N15" s="87"/>
      <c r="S15" s="43"/>
      <c r="T15" s="44" t="s">
        <v>1637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6" t="s">
        <v>52</v>
      </c>
      <c r="C16" s="107"/>
      <c r="D16" s="82" t="s">
        <v>1638</v>
      </c>
      <c r="E16" s="83"/>
      <c r="F16" s="83"/>
      <c r="G16" s="83"/>
      <c r="H16" s="83"/>
      <c r="I16" s="83"/>
      <c r="J16" s="83"/>
      <c r="K16" s="83"/>
      <c r="M16" s="104" t="s">
        <v>1640</v>
      </c>
      <c r="N16" s="105"/>
    </row>
    <row r="17" spans="2:23" ht="12" thickBot="1" x14ac:dyDescent="0.25">
      <c r="B17" s="4"/>
      <c r="C17" s="5"/>
      <c r="D17" s="84" t="s">
        <v>17</v>
      </c>
      <c r="E17" s="84"/>
      <c r="F17" s="84"/>
      <c r="G17" s="84"/>
      <c r="H17" s="84"/>
      <c r="I17" s="84"/>
      <c r="J17" s="84"/>
      <c r="K17" s="84"/>
      <c r="M17" s="85" t="s">
        <v>16</v>
      </c>
      <c r="N17" s="85"/>
      <c r="T17" s="37" t="s">
        <v>30</v>
      </c>
    </row>
    <row r="18" spans="2:23" ht="15" x14ac:dyDescent="0.25">
      <c r="B18" s="4"/>
      <c r="C18" s="5"/>
      <c r="D18" s="125" t="s">
        <v>22</v>
      </c>
      <c r="E18" s="125"/>
      <c r="F18" s="125"/>
      <c r="G18" s="99" t="s">
        <v>1639</v>
      </c>
      <c r="H18" s="99"/>
      <c r="I18" s="99"/>
      <c r="J18" s="99"/>
      <c r="K18" s="99"/>
      <c r="L18" s="99"/>
      <c r="M18" s="99"/>
      <c r="N18" s="99"/>
      <c r="S18" s="40"/>
      <c r="T18" s="47" t="s">
        <v>49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1" t="s">
        <v>55</v>
      </c>
      <c r="H19" s="92"/>
      <c r="I19" s="92"/>
      <c r="J19" s="92"/>
      <c r="K19" s="92"/>
      <c r="L19" s="92"/>
      <c r="M19" s="92"/>
      <c r="N19" s="93"/>
      <c r="S19" s="41"/>
      <c r="T19" s="39"/>
      <c r="U19" s="39"/>
      <c r="V19" s="16"/>
    </row>
    <row r="20" spans="2:23" ht="13.5" thickBot="1" x14ac:dyDescent="0.25">
      <c r="B20" s="81"/>
      <c r="C20" s="114"/>
      <c r="D20" s="115" t="s">
        <v>9</v>
      </c>
      <c r="E20" s="115"/>
      <c r="F20" s="115"/>
      <c r="G20" s="116">
        <v>4542</v>
      </c>
      <c r="H20" s="116"/>
      <c r="K20" s="14"/>
      <c r="L20" s="15"/>
      <c r="M20" s="129"/>
      <c r="N20" s="129"/>
      <c r="T20" s="38" t="s">
        <v>37</v>
      </c>
      <c r="V20" s="38" t="s">
        <v>40</v>
      </c>
    </row>
    <row r="21" spans="2:23" x14ac:dyDescent="0.2">
      <c r="B21" s="81"/>
      <c r="C21" s="114"/>
      <c r="D21" s="115"/>
      <c r="E21" s="115"/>
      <c r="F21" s="115"/>
      <c r="G21" s="116"/>
      <c r="H21" s="116"/>
      <c r="K21" t="s">
        <v>10</v>
      </c>
      <c r="L21" s="16"/>
      <c r="M21" s="130"/>
      <c r="N21" s="130"/>
      <c r="S21" s="137">
        <v>4542</v>
      </c>
      <c r="T21" s="138"/>
      <c r="U21" s="139"/>
      <c r="V21" s="136">
        <f>SetSum*20/120</f>
        <v>757</v>
      </c>
    </row>
    <row r="22" spans="2:23" x14ac:dyDescent="0.2">
      <c r="B22" s="4"/>
      <c r="C22" s="5"/>
      <c r="D22" s="4"/>
      <c r="K22" t="s">
        <v>1566</v>
      </c>
      <c r="N22" s="5"/>
      <c r="S22" s="136"/>
      <c r="T22" s="140"/>
      <c r="U22" s="141"/>
      <c r="V22" s="136"/>
    </row>
    <row r="23" spans="2:23" ht="11.85" customHeight="1" thickBot="1" x14ac:dyDescent="0.25">
      <c r="B23" s="4"/>
      <c r="C23" s="5"/>
      <c r="D23" s="101" t="s">
        <v>11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S23" s="142"/>
      <c r="T23" s="143"/>
      <c r="U23" s="144"/>
      <c r="V23" s="136"/>
    </row>
    <row r="24" spans="2:23" ht="17.25" customHeight="1" thickBot="1" x14ac:dyDescent="0.3">
      <c r="B24" s="80" t="s">
        <v>12</v>
      </c>
      <c r="C24" s="80"/>
      <c r="D24" s="98" t="s">
        <v>13</v>
      </c>
      <c r="E24" s="98"/>
      <c r="F24" s="98"/>
      <c r="G24" s="98"/>
      <c r="H24" s="98"/>
      <c r="I24" s="102" t="s">
        <v>14</v>
      </c>
      <c r="J24" s="102"/>
      <c r="K24" s="102"/>
      <c r="L24" s="103"/>
      <c r="M24" s="103"/>
      <c r="N24" s="103"/>
      <c r="O24" s="8"/>
    </row>
    <row r="25" spans="2:23" ht="16.5" thickBot="1" x14ac:dyDescent="0.3">
      <c r="B25" s="9"/>
      <c r="C25" s="10"/>
      <c r="D25" s="9"/>
      <c r="E25" s="11"/>
      <c r="F25" s="11"/>
      <c r="G25" s="88"/>
      <c r="H25" s="88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6"/>
      <c r="H26" s="126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0" t="s">
        <v>15</v>
      </c>
      <c r="C27" s="80"/>
      <c r="D27" s="119" t="str">
        <f>Name</f>
        <v>МГТУ им. Н.Э. Баумана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</row>
    <row r="28" spans="2:23" ht="12" thickBot="1" x14ac:dyDescent="0.25">
      <c r="B28" s="4"/>
      <c r="C28" s="5"/>
      <c r="D28" s="120" t="s">
        <v>2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</row>
    <row r="29" spans="2:23" ht="15.75" thickBot="1" x14ac:dyDescent="0.3">
      <c r="B29" s="4"/>
      <c r="C29" s="5"/>
      <c r="D29" s="128" t="str">
        <f>PayeeINN</f>
        <v>7701002520</v>
      </c>
      <c r="E29" s="128"/>
      <c r="F29" s="128"/>
      <c r="G29" s="128"/>
      <c r="H29" s="128"/>
      <c r="I29" s="23"/>
      <c r="J29" s="23"/>
      <c r="K29" s="99" t="str">
        <f>PersonalAcc</f>
        <v>40503810738000000015</v>
      </c>
      <c r="L29" s="99"/>
      <c r="M29" s="99"/>
      <c r="N29" s="99"/>
      <c r="S29" s="75" t="s">
        <v>1202</v>
      </c>
      <c r="T29" s="76"/>
      <c r="U29" s="76"/>
      <c r="V29" s="77"/>
    </row>
    <row r="30" spans="2:23" x14ac:dyDescent="0.2">
      <c r="B30" s="4"/>
      <c r="C30" s="5"/>
      <c r="D30" s="84" t="s">
        <v>3</v>
      </c>
      <c r="E30" s="84"/>
      <c r="F30" s="84"/>
      <c r="G30" s="84"/>
      <c r="H30" s="84"/>
      <c r="I30" s="23"/>
      <c r="J30" s="23"/>
      <c r="K30" s="85" t="s">
        <v>4</v>
      </c>
      <c r="L30" s="85"/>
      <c r="M30" s="85"/>
      <c r="N30" s="85"/>
      <c r="S30" s="145">
        <f>DogKod</f>
        <v>0</v>
      </c>
      <c r="T30" s="146"/>
      <c r="U30" s="74"/>
      <c r="V30" s="74"/>
    </row>
    <row r="31" spans="2:23" ht="14.45" customHeight="1" x14ac:dyDescent="0.25">
      <c r="B31" s="4"/>
      <c r="C31" s="5"/>
      <c r="D31" s="96" t="str">
        <f>D9</f>
        <v>770101001</v>
      </c>
      <c r="E31" s="127"/>
      <c r="F31" s="127"/>
      <c r="G31" s="127"/>
      <c r="H31" s="127"/>
      <c r="I31" s="23"/>
      <c r="J31" s="23"/>
      <c r="K31" s="86" t="str">
        <f>K9</f>
        <v>45375000</v>
      </c>
      <c r="L31" s="127"/>
      <c r="M31" s="127"/>
      <c r="N31" s="99"/>
      <c r="S31" s="145"/>
      <c r="T31" s="146"/>
      <c r="U31" s="74"/>
      <c r="V31" s="74"/>
    </row>
    <row r="32" spans="2:23" ht="12" thickBot="1" x14ac:dyDescent="0.25">
      <c r="B32" s="4"/>
      <c r="C32" s="5"/>
      <c r="D32" s="89" t="s">
        <v>19</v>
      </c>
      <c r="E32" s="90"/>
      <c r="F32" s="90"/>
      <c r="G32" s="90"/>
      <c r="H32" s="90"/>
      <c r="I32" s="23"/>
      <c r="J32" s="23"/>
      <c r="K32" s="90" t="s">
        <v>20</v>
      </c>
      <c r="L32" s="90"/>
      <c r="M32" s="90"/>
      <c r="N32" s="118"/>
      <c r="S32" s="147"/>
      <c r="T32" s="148"/>
      <c r="U32" s="74"/>
      <c r="V32" s="74"/>
    </row>
    <row r="33" spans="2:15" ht="15" x14ac:dyDescent="0.25">
      <c r="B33" s="4"/>
      <c r="C33" s="5"/>
      <c r="D33" s="94" t="str">
        <f>D11</f>
        <v/>
      </c>
      <c r="E33" s="127"/>
      <c r="F33" s="127"/>
      <c r="G33" s="127"/>
      <c r="H33" s="127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9" t="s">
        <v>21</v>
      </c>
      <c r="E34" s="90"/>
      <c r="F34" s="90"/>
      <c r="G34" s="90"/>
      <c r="H34" s="90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7" t="str">
        <f>BankName</f>
        <v>ПАО СБЕРБАНК</v>
      </c>
      <c r="F35" s="127"/>
      <c r="G35" s="127"/>
      <c r="H35" s="127"/>
      <c r="I35" s="127"/>
      <c r="J35" s="127"/>
      <c r="K35" s="127"/>
      <c r="L35" s="7" t="s">
        <v>6</v>
      </c>
      <c r="M35" s="99" t="str">
        <f>BIC</f>
        <v>044525225</v>
      </c>
      <c r="N35" s="99"/>
    </row>
    <row r="36" spans="2:15" x14ac:dyDescent="0.2">
      <c r="B36" s="4"/>
      <c r="C36" s="5"/>
      <c r="D36" s="25"/>
      <c r="E36" s="100" t="s">
        <v>7</v>
      </c>
      <c r="F36" s="100"/>
      <c r="G36" s="100"/>
      <c r="H36" s="100"/>
      <c r="I36" s="100"/>
      <c r="J36" s="100"/>
      <c r="K36" s="100"/>
      <c r="L36" s="23"/>
      <c r="M36" s="23"/>
      <c r="N36" s="26"/>
    </row>
    <row r="37" spans="2:15" ht="15" x14ac:dyDescent="0.25">
      <c r="B37" s="4"/>
      <c r="C37" s="5"/>
      <c r="D37" s="131" t="s">
        <v>8</v>
      </c>
      <c r="E37" s="131"/>
      <c r="F37" s="131"/>
      <c r="G37" s="131"/>
      <c r="H37" s="7"/>
      <c r="I37" s="99" t="str">
        <f>CorrespAcc</f>
        <v>30101810400000000225</v>
      </c>
      <c r="J37" s="99"/>
      <c r="K37" s="99"/>
      <c r="L37" s="99"/>
      <c r="M37" s="99"/>
      <c r="N37" s="99"/>
    </row>
    <row r="38" spans="2:15" ht="41.45" customHeight="1" x14ac:dyDescent="0.2">
      <c r="B38" s="4"/>
      <c r="C38" s="5"/>
      <c r="D38" s="82" t="str">
        <f>Purpose</f>
        <v>{VO20100}Опл.по дог.найма (ком.усл.).за пер.:с 01.09.20 по 28.02.21,в т.ч. НДС 757</v>
      </c>
      <c r="E38" s="83"/>
      <c r="F38" s="83"/>
      <c r="G38" s="83"/>
      <c r="H38" s="83"/>
      <c r="I38" s="83"/>
      <c r="J38" s="83"/>
      <c r="K38" s="83"/>
      <c r="L38" s="23"/>
      <c r="M38" s="104" t="str">
        <f>Contract</f>
        <v>6-17ИМ66/2017</v>
      </c>
      <c r="N38" s="105"/>
    </row>
    <row r="39" spans="2:15" x14ac:dyDescent="0.2">
      <c r="B39" s="4"/>
      <c r="C39" s="5"/>
      <c r="D39" s="84" t="s">
        <v>17</v>
      </c>
      <c r="E39" s="84"/>
      <c r="F39" s="84"/>
      <c r="G39" s="84"/>
      <c r="H39" s="84"/>
      <c r="I39" s="84"/>
      <c r="J39" s="84"/>
      <c r="K39" s="84"/>
      <c r="L39" s="23"/>
      <c r="M39" s="85" t="s">
        <v>16</v>
      </c>
      <c r="N39" s="85"/>
    </row>
    <row r="40" spans="2:15" ht="15" x14ac:dyDescent="0.25">
      <c r="B40" s="4"/>
      <c r="C40" s="5"/>
      <c r="D40" s="133" t="str">
        <f>D18</f>
        <v>ФИО обучающегося</v>
      </c>
      <c r="E40" s="133"/>
      <c r="F40" s="133"/>
      <c r="G40" s="99" t="str">
        <f>FIO</f>
        <v xml:space="preserve">Ван Сюаньхэ </v>
      </c>
      <c r="H40" s="99"/>
      <c r="I40" s="99"/>
      <c r="J40" s="99"/>
      <c r="K40" s="99"/>
      <c r="L40" s="99"/>
      <c r="M40" s="99"/>
      <c r="N40" s="99"/>
    </row>
    <row r="41" spans="2:15" ht="15" x14ac:dyDescent="0.25">
      <c r="B41" s="4"/>
      <c r="C41" s="5"/>
      <c r="D41" s="131" t="s">
        <v>18</v>
      </c>
      <c r="E41" s="132"/>
      <c r="F41" s="132"/>
      <c r="G41" s="91" t="str">
        <f>IF(Hostel="","",Hostel)</f>
        <v>№6</v>
      </c>
      <c r="H41" s="134"/>
      <c r="I41" s="134"/>
      <c r="J41" s="134"/>
      <c r="K41" s="134"/>
      <c r="L41" s="134"/>
      <c r="M41" s="134"/>
      <c r="N41" s="135"/>
    </row>
    <row r="42" spans="2:15" ht="12.75" x14ac:dyDescent="0.2">
      <c r="B42" s="81"/>
      <c r="C42" s="114"/>
      <c r="D42" s="115" t="s">
        <v>9</v>
      </c>
      <c r="E42" s="115"/>
      <c r="F42" s="115"/>
      <c r="G42" s="116">
        <f>Sum</f>
        <v>4542</v>
      </c>
      <c r="H42" s="116"/>
      <c r="I42" s="23"/>
      <c r="J42" s="23"/>
      <c r="K42" s="14"/>
      <c r="L42" s="27"/>
      <c r="M42" s="129"/>
      <c r="N42" s="129"/>
    </row>
    <row r="43" spans="2:15" x14ac:dyDescent="0.2">
      <c r="B43" s="81"/>
      <c r="C43" s="114"/>
      <c r="D43" s="115"/>
      <c r="E43" s="115"/>
      <c r="F43" s="115"/>
      <c r="G43" s="116"/>
      <c r="H43" s="116"/>
      <c r="I43" s="23"/>
      <c r="J43" s="23"/>
      <c r="K43" s="23" t="s">
        <v>10</v>
      </c>
      <c r="L43" s="28"/>
      <c r="M43" s="130"/>
      <c r="N43" s="130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1" t="s">
        <v>11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5" ht="17.25" customHeight="1" x14ac:dyDescent="0.25">
      <c r="B46" s="80" t="s">
        <v>12</v>
      </c>
      <c r="C46" s="80"/>
      <c r="D46" s="152" t="s">
        <v>13</v>
      </c>
      <c r="E46" s="152"/>
      <c r="F46" s="152"/>
      <c r="G46" s="152"/>
      <c r="H46" s="152"/>
      <c r="I46" s="154" t="s">
        <v>14</v>
      </c>
      <c r="J46" s="154"/>
      <c r="K46" s="154"/>
      <c r="L46" s="155"/>
      <c r="M46" s="155"/>
      <c r="N46" s="155"/>
      <c r="O46" s="8"/>
    </row>
    <row r="47" spans="2:15" ht="12" thickBot="1" x14ac:dyDescent="0.25">
      <c r="B47" s="9"/>
      <c r="C47" s="10"/>
      <c r="D47" s="29"/>
      <c r="E47" s="30"/>
      <c r="F47" s="30"/>
      <c r="G47" s="153"/>
      <c r="H47" s="153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0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6" t="s">
        <v>1641</v>
      </c>
      <c r="C52" s="156"/>
      <c r="D52" s="156"/>
      <c r="E52" s="156"/>
    </row>
    <row r="53" spans="2:21" ht="18" customHeight="1" outlineLevel="1" x14ac:dyDescent="0.2">
      <c r="B53" s="156"/>
      <c r="C53" s="156"/>
      <c r="D53" s="156"/>
      <c r="E53" s="156"/>
    </row>
    <row r="54" spans="2:21" ht="19.5" customHeight="1" outlineLevel="1" x14ac:dyDescent="0.2">
      <c r="B54" s="156"/>
      <c r="C54" s="156"/>
      <c r="D54" s="156"/>
      <c r="E54" s="156"/>
    </row>
    <row r="55" spans="2:21" ht="4.5" customHeight="1" outlineLevel="1" x14ac:dyDescent="0.2">
      <c r="B55" s="156"/>
      <c r="C55" s="156"/>
      <c r="D55" s="156"/>
      <c r="E55" s="156"/>
    </row>
    <row r="56" spans="2:21" ht="4.5" customHeight="1" outlineLevel="1" x14ac:dyDescent="0.2">
      <c r="B56" s="156"/>
      <c r="C56" s="156"/>
      <c r="D56" s="156"/>
      <c r="E56" s="156"/>
    </row>
    <row r="57" spans="2:21" ht="2.25" customHeight="1" outlineLevel="1" x14ac:dyDescent="0.2">
      <c r="B57" s="156"/>
      <c r="C57" s="156"/>
      <c r="D57" s="156"/>
      <c r="E57" s="156"/>
    </row>
    <row r="58" spans="2:21" ht="4.5" customHeight="1" outlineLevel="1" x14ac:dyDescent="0.2">
      <c r="B58" s="156"/>
      <c r="C58" s="156"/>
      <c r="D58" s="156"/>
      <c r="E58" s="156"/>
    </row>
    <row r="59" spans="2:21" ht="55.5" customHeight="1" outlineLevel="1" x14ac:dyDescent="0.2">
      <c r="B59" s="156"/>
      <c r="C59" s="156"/>
      <c r="D59" s="156"/>
      <c r="E59" s="156"/>
      <c r="F59">
        <v>112755</v>
      </c>
    </row>
    <row r="60" spans="2:21" outlineLevel="1" x14ac:dyDescent="0.2"/>
    <row r="61" spans="2:21" outlineLevel="1" x14ac:dyDescent="0.2">
      <c r="C61" t="s">
        <v>51</v>
      </c>
      <c r="D61" s="149" t="s">
        <v>36</v>
      </c>
      <c r="E61" s="149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1200</v>
      </c>
      <c r="S61" t="s">
        <v>1201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outlineLevel="1" x14ac:dyDescent="0.2">
      <c r="C62" t="s">
        <v>31</v>
      </c>
      <c r="D62" s="149"/>
      <c r="E62" s="149"/>
      <c r="F62" s="35" t="s">
        <v>32</v>
      </c>
      <c r="H62" t="s">
        <v>33</v>
      </c>
      <c r="K62" s="35" t="s">
        <v>1203</v>
      </c>
      <c r="L62" s="35" t="s">
        <v>34</v>
      </c>
      <c r="R62" s="35" t="s">
        <v>1204</v>
      </c>
      <c r="S62" s="79" t="s">
        <v>1205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41</v>
      </c>
      <c r="D64" s="149">
        <v>39588</v>
      </c>
      <c r="E64" s="149"/>
      <c r="F64" s="51" t="str">
        <f t="shared" ref="F64:F70" si="0">C64&amp;";"&amp;D64</f>
        <v>ВБ/5/12-1;39588</v>
      </c>
    </row>
    <row r="65" spans="3:6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outlineLevel="1" x14ac:dyDescent="0.2">
      <c r="C69" s="51" t="s">
        <v>45</v>
      </c>
      <c r="D69" s="149">
        <v>39595</v>
      </c>
      <c r="E69" s="149"/>
      <c r="F69" s="51" t="str">
        <f t="shared" si="0"/>
        <v>ВБ/5/12-5;39595</v>
      </c>
    </row>
    <row r="70" spans="3:6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95250</xdr:colOff>
                <xdr:row>17</xdr:row>
                <xdr:rowOff>85725</xdr:rowOff>
              </from>
              <to>
                <xdr:col>22</xdr:col>
                <xdr:colOff>695325</xdr:colOff>
                <xdr:row>20</xdr:row>
                <xdr:rowOff>47625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485775</xdr:colOff>
                <xdr:row>6</xdr:row>
                <xdr:rowOff>133350</xdr:rowOff>
              </from>
              <to>
                <xdr:col>19</xdr:col>
                <xdr:colOff>1504950</xdr:colOff>
                <xdr:row>9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365" workbookViewId="0">
      <selection activeCell="C369" sqref="C369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72</v>
      </c>
      <c r="C1" s="63" t="s">
        <v>73</v>
      </c>
      <c r="D1" s="66" t="s">
        <v>55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1127</v>
      </c>
      <c r="C2" s="63" t="s">
        <v>1128</v>
      </c>
      <c r="D2" s="66" t="s">
        <v>55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963</v>
      </c>
      <c r="C3" s="58" t="s">
        <v>964</v>
      </c>
      <c r="D3" s="55" t="s">
        <v>55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74</v>
      </c>
      <c r="C4" s="63" t="s">
        <v>75</v>
      </c>
      <c r="D4" s="66" t="s">
        <v>55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1009</v>
      </c>
      <c r="C5" s="63" t="s">
        <v>1010</v>
      </c>
      <c r="D5" s="66" t="s">
        <v>55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809</v>
      </c>
      <c r="C6" s="58" t="s">
        <v>810</v>
      </c>
      <c r="D6" s="55" t="s">
        <v>55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426</v>
      </c>
      <c r="C7" s="63" t="s">
        <v>427</v>
      </c>
      <c r="D7" s="66" t="s">
        <v>55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849</v>
      </c>
      <c r="C8" s="58" t="s">
        <v>850</v>
      </c>
      <c r="D8" s="55" t="s">
        <v>55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614</v>
      </c>
      <c r="C9" s="63" t="s">
        <v>615</v>
      </c>
      <c r="D9" s="66" t="s">
        <v>55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616</v>
      </c>
      <c r="C10" s="63" t="s">
        <v>617</v>
      </c>
      <c r="D10" s="66" t="s">
        <v>55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618</v>
      </c>
      <c r="C11" s="63" t="s">
        <v>619</v>
      </c>
      <c r="D11" s="66" t="s">
        <v>55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424</v>
      </c>
      <c r="C12" s="63" t="s">
        <v>425</v>
      </c>
      <c r="D12" s="66" t="s">
        <v>55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1059</v>
      </c>
      <c r="C13" s="63" t="s">
        <v>1060</v>
      </c>
      <c r="D13" s="66" t="s">
        <v>55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204</v>
      </c>
      <c r="C14" s="63" t="s">
        <v>205</v>
      </c>
      <c r="D14" s="66" t="s">
        <v>55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196</v>
      </c>
      <c r="C15" s="63" t="s">
        <v>197</v>
      </c>
      <c r="D15" s="66" t="s">
        <v>55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352</v>
      </c>
      <c r="C16" s="63" t="s">
        <v>353</v>
      </c>
      <c r="D16" s="66" t="s">
        <v>55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76</v>
      </c>
      <c r="C17" s="63" t="s">
        <v>77</v>
      </c>
      <c r="D17" s="66" t="s">
        <v>55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875</v>
      </c>
      <c r="C18" s="58" t="s">
        <v>876</v>
      </c>
      <c r="D18" s="55" t="s">
        <v>55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1125</v>
      </c>
      <c r="C19" s="63" t="s">
        <v>1126</v>
      </c>
      <c r="D19" s="66" t="s">
        <v>55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1123</v>
      </c>
      <c r="C20" s="63" t="s">
        <v>1124</v>
      </c>
      <c r="D20" s="66" t="s">
        <v>55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580</v>
      </c>
      <c r="C21" s="63" t="s">
        <v>581</v>
      </c>
      <c r="D21" s="66" t="s">
        <v>55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1199</v>
      </c>
      <c r="C22" s="63" t="s">
        <v>581</v>
      </c>
      <c r="D22" s="66" t="s">
        <v>55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1011</v>
      </c>
      <c r="C23" s="63" t="s">
        <v>1012</v>
      </c>
      <c r="D23" s="66" t="s">
        <v>55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354</v>
      </c>
      <c r="C24" s="63" t="s">
        <v>355</v>
      </c>
      <c r="D24" s="66" t="s">
        <v>55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312</v>
      </c>
      <c r="C25" s="63" t="s">
        <v>313</v>
      </c>
      <c r="D25" s="66" t="s">
        <v>55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620</v>
      </c>
      <c r="C26" s="63" t="s">
        <v>621</v>
      </c>
      <c r="D26" s="66" t="s">
        <v>55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202</v>
      </c>
      <c r="C27" s="63" t="s">
        <v>203</v>
      </c>
      <c r="D27" s="66" t="s">
        <v>55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422</v>
      </c>
      <c r="C28" s="63" t="s">
        <v>423</v>
      </c>
      <c r="D28" s="66" t="s">
        <v>55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420</v>
      </c>
      <c r="C29" s="63" t="s">
        <v>421</v>
      </c>
      <c r="D29" s="66" t="s">
        <v>55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314</v>
      </c>
      <c r="C30" s="63" t="s">
        <v>315</v>
      </c>
      <c r="D30" s="66" t="s">
        <v>55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206</v>
      </c>
      <c r="C31" s="63" t="s">
        <v>207</v>
      </c>
      <c r="D31" s="66" t="s">
        <v>55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811</v>
      </c>
      <c r="C32" s="58" t="s">
        <v>812</v>
      </c>
      <c r="D32" s="55" t="s">
        <v>55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356</v>
      </c>
      <c r="C33" s="63" t="s">
        <v>357</v>
      </c>
      <c r="D33" s="66" t="s">
        <v>55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813</v>
      </c>
      <c r="C34" s="58" t="s">
        <v>814</v>
      </c>
      <c r="D34" s="55" t="s">
        <v>55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622</v>
      </c>
      <c r="C35" s="63" t="s">
        <v>623</v>
      </c>
      <c r="D35" s="66" t="s">
        <v>55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180</v>
      </c>
      <c r="C36" s="63" t="s">
        <v>181</v>
      </c>
      <c r="D36" s="66" t="s">
        <v>55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1029</v>
      </c>
      <c r="C37" s="63" t="s">
        <v>1030</v>
      </c>
      <c r="D37" s="66" t="s">
        <v>55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1183</v>
      </c>
      <c r="C38" s="63" t="s">
        <v>1184</v>
      </c>
      <c r="D38" s="66" t="s">
        <v>55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815</v>
      </c>
      <c r="C39" s="58" t="s">
        <v>816</v>
      </c>
      <c r="D39" s="55" t="s">
        <v>55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971</v>
      </c>
      <c r="C40" s="58" t="s">
        <v>972</v>
      </c>
      <c r="D40" s="55" t="s">
        <v>973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208</v>
      </c>
      <c r="C41" s="63" t="s">
        <v>209</v>
      </c>
      <c r="D41" s="66" t="s">
        <v>55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1061</v>
      </c>
      <c r="C42" s="63" t="s">
        <v>1062</v>
      </c>
      <c r="D42" s="66" t="s">
        <v>55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428</v>
      </c>
      <c r="C43" s="63" t="s">
        <v>429</v>
      </c>
      <c r="D43" s="66" t="s">
        <v>55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60</v>
      </c>
      <c r="C44" s="63" t="s">
        <v>61</v>
      </c>
      <c r="D44" s="66" t="s">
        <v>55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1129</v>
      </c>
      <c r="C45" s="63" t="s">
        <v>1130</v>
      </c>
      <c r="D45" s="66" t="s">
        <v>55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212</v>
      </c>
      <c r="C46" s="63" t="s">
        <v>213</v>
      </c>
      <c r="D46" s="66" t="s">
        <v>55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182</v>
      </c>
      <c r="C47" s="63" t="s">
        <v>183</v>
      </c>
      <c r="D47" s="66" t="s">
        <v>55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214</v>
      </c>
      <c r="C48" s="63" t="s">
        <v>215</v>
      </c>
      <c r="D48" s="66" t="s">
        <v>55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1051</v>
      </c>
      <c r="C49" s="63" t="s">
        <v>1052</v>
      </c>
      <c r="D49" s="66" t="s">
        <v>55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877</v>
      </c>
      <c r="C50" s="58" t="s">
        <v>878</v>
      </c>
      <c r="D50" s="55" t="s">
        <v>55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210</v>
      </c>
      <c r="C51" s="63" t="s">
        <v>211</v>
      </c>
      <c r="D51" s="66" t="s">
        <v>55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873</v>
      </c>
      <c r="C52" s="58" t="s">
        <v>874</v>
      </c>
      <c r="D52" s="55" t="s">
        <v>55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430</v>
      </c>
      <c r="C53" s="63" t="s">
        <v>431</v>
      </c>
      <c r="D53" s="66" t="s">
        <v>55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819</v>
      </c>
      <c r="C54" s="58" t="s">
        <v>820</v>
      </c>
      <c r="D54" s="55" t="s">
        <v>55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318</v>
      </c>
      <c r="C55" s="63" t="s">
        <v>319</v>
      </c>
      <c r="D55" s="66" t="s">
        <v>55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1045</v>
      </c>
      <c r="C56" s="63" t="s">
        <v>1046</v>
      </c>
      <c r="D56" s="66" t="s">
        <v>55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316</v>
      </c>
      <c r="C57" s="63" t="s">
        <v>317</v>
      </c>
      <c r="D57" s="66" t="s">
        <v>55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216</v>
      </c>
      <c r="C58" s="63" t="s">
        <v>217</v>
      </c>
      <c r="D58" s="66" t="s">
        <v>55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598</v>
      </c>
      <c r="C59" s="63" t="s">
        <v>599</v>
      </c>
      <c r="D59" s="66" t="s">
        <v>55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432</v>
      </c>
      <c r="C60" s="63" t="s">
        <v>433</v>
      </c>
      <c r="D60" s="66" t="s">
        <v>55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624</v>
      </c>
      <c r="C61" s="63" t="s">
        <v>625</v>
      </c>
      <c r="D61" s="66" t="s">
        <v>55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546</v>
      </c>
      <c r="C62" s="63" t="s">
        <v>547</v>
      </c>
      <c r="D62" s="66" t="s">
        <v>55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817</v>
      </c>
      <c r="C63" s="58" t="s">
        <v>818</v>
      </c>
      <c r="D63" s="55" t="s">
        <v>55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626</v>
      </c>
      <c r="C64" s="63" t="s">
        <v>627</v>
      </c>
      <c r="D64" s="66" t="s">
        <v>55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500</v>
      </c>
      <c r="C65" s="63" t="s">
        <v>501</v>
      </c>
      <c r="D65" s="66" t="s">
        <v>55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434</v>
      </c>
      <c r="C66" s="63" t="s">
        <v>435</v>
      </c>
      <c r="D66" s="66" t="s">
        <v>55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821</v>
      </c>
      <c r="C67" s="58" t="s">
        <v>822</v>
      </c>
      <c r="D67" s="55" t="s">
        <v>55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358</v>
      </c>
      <c r="C68" s="63" t="s">
        <v>359</v>
      </c>
      <c r="D68" s="66" t="s">
        <v>55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436</v>
      </c>
      <c r="C69" s="63" t="s">
        <v>437</v>
      </c>
      <c r="D69" s="66" t="s">
        <v>55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871</v>
      </c>
      <c r="C70" s="58" t="s">
        <v>872</v>
      </c>
      <c r="D70" s="55" t="s">
        <v>55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628</v>
      </c>
      <c r="C71" s="63" t="s">
        <v>629</v>
      </c>
      <c r="D71" s="66" t="s">
        <v>55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78</v>
      </c>
      <c r="C72" s="63" t="s">
        <v>79</v>
      </c>
      <c r="D72" s="66" t="s">
        <v>55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1049</v>
      </c>
      <c r="C73" s="63" t="s">
        <v>1050</v>
      </c>
      <c r="D73" s="66" t="s">
        <v>55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1065</v>
      </c>
      <c r="C74" s="63" t="s">
        <v>1066</v>
      </c>
      <c r="D74" s="66" t="s">
        <v>55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1063</v>
      </c>
      <c r="C75" s="63" t="s">
        <v>1064</v>
      </c>
      <c r="D75" s="66" t="s">
        <v>55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1131</v>
      </c>
      <c r="C76" s="63" t="s">
        <v>1132</v>
      </c>
      <c r="D76" s="66" t="s">
        <v>55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1121</v>
      </c>
      <c r="C77" s="63" t="s">
        <v>1122</v>
      </c>
      <c r="D77" s="66" t="s">
        <v>55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1067</v>
      </c>
      <c r="C78" s="63" t="s">
        <v>1068</v>
      </c>
      <c r="D78" s="66" t="s">
        <v>55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548</v>
      </c>
      <c r="C79" s="63" t="s">
        <v>549</v>
      </c>
      <c r="D79" s="66" t="s">
        <v>55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630</v>
      </c>
      <c r="C80" s="63" t="s">
        <v>631</v>
      </c>
      <c r="D80" s="66" t="s">
        <v>55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80</v>
      </c>
      <c r="C81" s="63" t="s">
        <v>81</v>
      </c>
      <c r="D81" s="66" t="s">
        <v>55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82</v>
      </c>
      <c r="C82" s="63" t="s">
        <v>83</v>
      </c>
      <c r="D82" s="66" t="s">
        <v>55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438</v>
      </c>
      <c r="C83" s="63" t="s">
        <v>439</v>
      </c>
      <c r="D83" s="66" t="s">
        <v>55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953</v>
      </c>
      <c r="C84" s="58" t="s">
        <v>954</v>
      </c>
      <c r="D84" s="55" t="s">
        <v>55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576</v>
      </c>
      <c r="C85" s="63" t="s">
        <v>577</v>
      </c>
      <c r="D85" s="66" t="s">
        <v>55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320</v>
      </c>
      <c r="C86" s="63" t="s">
        <v>321</v>
      </c>
      <c r="D86" s="66" t="s">
        <v>55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440</v>
      </c>
      <c r="C87" s="63" t="s">
        <v>441</v>
      </c>
      <c r="D87" s="66" t="s">
        <v>55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566</v>
      </c>
      <c r="C88" s="63" t="s">
        <v>567</v>
      </c>
      <c r="D88" s="66" t="s">
        <v>55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346</v>
      </c>
      <c r="C89" s="63" t="s">
        <v>347</v>
      </c>
      <c r="D89" s="66" t="s">
        <v>55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592</v>
      </c>
      <c r="C90" s="63" t="s">
        <v>593</v>
      </c>
      <c r="D90" s="66" t="s">
        <v>55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1197</v>
      </c>
      <c r="C91" s="63" t="s">
        <v>1198</v>
      </c>
      <c r="D91" s="66" t="s">
        <v>55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550</v>
      </c>
      <c r="C92" s="63" t="s">
        <v>551</v>
      </c>
      <c r="D92" s="66" t="s">
        <v>55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927</v>
      </c>
      <c r="C93" s="58" t="s">
        <v>928</v>
      </c>
      <c r="D93" s="55" t="s">
        <v>55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632</v>
      </c>
      <c r="C94" s="63" t="s">
        <v>633</v>
      </c>
      <c r="D94" s="66" t="s">
        <v>55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218</v>
      </c>
      <c r="C95" s="63" t="s">
        <v>219</v>
      </c>
      <c r="D95" s="66" t="s">
        <v>55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634</v>
      </c>
      <c r="C96" s="63" t="s">
        <v>635</v>
      </c>
      <c r="D96" s="66" t="s">
        <v>55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1047</v>
      </c>
      <c r="C97" s="63" t="s">
        <v>1048</v>
      </c>
      <c r="D97" s="66" t="s">
        <v>55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999</v>
      </c>
      <c r="C98" s="63" t="s">
        <v>1000</v>
      </c>
      <c r="D98" s="66" t="s">
        <v>55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442</v>
      </c>
      <c r="C99" s="63" t="s">
        <v>443</v>
      </c>
      <c r="D99" s="66" t="s">
        <v>55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220</v>
      </c>
      <c r="C100" s="63" t="s">
        <v>221</v>
      </c>
      <c r="D100" s="66" t="s">
        <v>55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1069</v>
      </c>
      <c r="C101" s="63" t="s">
        <v>1070</v>
      </c>
      <c r="D101" s="66" t="s">
        <v>55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84</v>
      </c>
      <c r="C102" s="63" t="s">
        <v>85</v>
      </c>
      <c r="D102" s="66" t="s">
        <v>55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636</v>
      </c>
      <c r="C103" s="63" t="s">
        <v>637</v>
      </c>
      <c r="D103" s="66" t="s">
        <v>55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444</v>
      </c>
      <c r="C104" s="63" t="s">
        <v>445</v>
      </c>
      <c r="D104" s="66" t="s">
        <v>55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638</v>
      </c>
      <c r="C105" s="63" t="s">
        <v>639</v>
      </c>
      <c r="D105" s="66" t="s">
        <v>55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945</v>
      </c>
      <c r="C106" s="58" t="s">
        <v>946</v>
      </c>
      <c r="D106" s="55" t="s">
        <v>55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360</v>
      </c>
      <c r="C107" s="63" t="s">
        <v>361</v>
      </c>
      <c r="D107" s="66" t="s">
        <v>55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640</v>
      </c>
      <c r="C108" s="63" t="s">
        <v>641</v>
      </c>
      <c r="D108" s="66" t="s">
        <v>55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642</v>
      </c>
      <c r="C109" s="63" t="s">
        <v>643</v>
      </c>
      <c r="D109" s="66" t="s">
        <v>55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222</v>
      </c>
      <c r="C110" s="63" t="s">
        <v>223</v>
      </c>
      <c r="D110" s="66" t="s">
        <v>55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987</v>
      </c>
      <c r="C111" s="63" t="s">
        <v>988</v>
      </c>
      <c r="D111" s="66" t="s">
        <v>55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947</v>
      </c>
      <c r="C112" s="58" t="s">
        <v>948</v>
      </c>
      <c r="D112" s="55" t="s">
        <v>55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86</v>
      </c>
      <c r="C113" s="63" t="s">
        <v>87</v>
      </c>
      <c r="D113" s="66" t="s">
        <v>55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88</v>
      </c>
      <c r="C114" s="63" t="s">
        <v>89</v>
      </c>
      <c r="D114" s="66" t="s">
        <v>55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446</v>
      </c>
      <c r="C115" s="63" t="s">
        <v>447</v>
      </c>
      <c r="D115" s="66" t="s">
        <v>55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644</v>
      </c>
      <c r="C116" s="63" t="s">
        <v>645</v>
      </c>
      <c r="D116" s="66" t="s">
        <v>55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983</v>
      </c>
      <c r="C117" s="63" t="s">
        <v>984</v>
      </c>
      <c r="D117" s="66" t="s">
        <v>55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851</v>
      </c>
      <c r="C118" s="58" t="s">
        <v>852</v>
      </c>
      <c r="D118" s="55" t="s">
        <v>55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853</v>
      </c>
      <c r="C119" s="58" t="s">
        <v>854</v>
      </c>
      <c r="D119" s="55" t="s">
        <v>55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646</v>
      </c>
      <c r="C120" s="63" t="s">
        <v>647</v>
      </c>
      <c r="D120" s="66" t="s">
        <v>55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502</v>
      </c>
      <c r="C121" s="63" t="s">
        <v>503</v>
      </c>
      <c r="D121" s="66" t="s">
        <v>55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648</v>
      </c>
      <c r="C122" s="63" t="s">
        <v>649</v>
      </c>
      <c r="D122" s="66" t="s">
        <v>55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362</v>
      </c>
      <c r="C123" s="63" t="s">
        <v>363</v>
      </c>
      <c r="D123" s="66" t="s">
        <v>55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879</v>
      </c>
      <c r="C124" s="58" t="s">
        <v>880</v>
      </c>
      <c r="D124" s="55" t="s">
        <v>55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90</v>
      </c>
      <c r="C125" s="63" t="s">
        <v>91</v>
      </c>
      <c r="D125" s="66" t="s">
        <v>55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881</v>
      </c>
      <c r="C126" s="58" t="s">
        <v>882</v>
      </c>
      <c r="D126" s="55" t="s">
        <v>55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981</v>
      </c>
      <c r="C127" s="63" t="s">
        <v>982</v>
      </c>
      <c r="D127" s="66" t="s">
        <v>55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1133</v>
      </c>
      <c r="C128" s="63" t="s">
        <v>1134</v>
      </c>
      <c r="D128" s="66" t="s">
        <v>55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448</v>
      </c>
      <c r="C129" s="63" t="s">
        <v>449</v>
      </c>
      <c r="D129" s="66" t="s">
        <v>55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572</v>
      </c>
      <c r="C130" s="63" t="s">
        <v>573</v>
      </c>
      <c r="D130" s="66" t="s">
        <v>55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92</v>
      </c>
      <c r="C131" s="63" t="s">
        <v>93</v>
      </c>
      <c r="D131" s="66" t="s">
        <v>55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228</v>
      </c>
      <c r="C132" s="63" t="s">
        <v>229</v>
      </c>
      <c r="D132" s="66" t="s">
        <v>55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823</v>
      </c>
      <c r="C133" s="58" t="s">
        <v>824</v>
      </c>
      <c r="D133" s="55" t="s">
        <v>55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226</v>
      </c>
      <c r="C134" s="63" t="s">
        <v>227</v>
      </c>
      <c r="D134" s="66" t="s">
        <v>55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224</v>
      </c>
      <c r="C135" s="63" t="s">
        <v>225</v>
      </c>
      <c r="D135" s="66" t="s">
        <v>55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1071</v>
      </c>
      <c r="C136" s="63" t="s">
        <v>1072</v>
      </c>
      <c r="D136" s="66" t="s">
        <v>55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1119</v>
      </c>
      <c r="C137" s="63" t="s">
        <v>1120</v>
      </c>
      <c r="D137" s="66" t="s">
        <v>55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236</v>
      </c>
      <c r="C138" s="63" t="s">
        <v>237</v>
      </c>
      <c r="D138" s="66" t="s">
        <v>55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650</v>
      </c>
      <c r="C139" s="63" t="s">
        <v>651</v>
      </c>
      <c r="D139" s="66" t="s">
        <v>55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230</v>
      </c>
      <c r="C140" s="63" t="s">
        <v>231</v>
      </c>
      <c r="D140" s="66" t="s">
        <v>55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570</v>
      </c>
      <c r="C141" s="63" t="s">
        <v>571</v>
      </c>
      <c r="D141" s="66" t="s">
        <v>55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232</v>
      </c>
      <c r="C142" s="63" t="s">
        <v>233</v>
      </c>
      <c r="D142" s="66" t="s">
        <v>55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94</v>
      </c>
      <c r="C143" s="63" t="s">
        <v>95</v>
      </c>
      <c r="D143" s="66" t="s">
        <v>55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974</v>
      </c>
      <c r="C144" s="58" t="s">
        <v>95</v>
      </c>
      <c r="D144" s="55" t="s">
        <v>55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96</v>
      </c>
      <c r="C145" s="63" t="s">
        <v>97</v>
      </c>
      <c r="D145" s="66" t="s">
        <v>55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58</v>
      </c>
      <c r="C146" s="63" t="s">
        <v>59</v>
      </c>
      <c r="D146" s="66" t="s">
        <v>55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989</v>
      </c>
      <c r="C147" s="63" t="s">
        <v>990</v>
      </c>
      <c r="D147" s="66" t="s">
        <v>55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1117</v>
      </c>
      <c r="C148" s="63" t="s">
        <v>1118</v>
      </c>
      <c r="D148" s="66" t="s">
        <v>55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652</v>
      </c>
      <c r="C149" s="63" t="s">
        <v>653</v>
      </c>
      <c r="D149" s="66" t="s">
        <v>55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450</v>
      </c>
      <c r="C150" s="63" t="s">
        <v>451</v>
      </c>
      <c r="D150" s="66" t="s">
        <v>55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234</v>
      </c>
      <c r="C151" s="63" t="s">
        <v>235</v>
      </c>
      <c r="D151" s="66" t="s">
        <v>55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825</v>
      </c>
      <c r="C152" s="58" t="s">
        <v>826</v>
      </c>
      <c r="D152" s="55" t="s">
        <v>55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1135</v>
      </c>
      <c r="C153" s="63" t="s">
        <v>1136</v>
      </c>
      <c r="D153" s="66" t="s">
        <v>55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238</v>
      </c>
      <c r="C154" s="63" t="s">
        <v>239</v>
      </c>
      <c r="D154" s="66" t="s">
        <v>55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654</v>
      </c>
      <c r="C155" s="63" t="s">
        <v>655</v>
      </c>
      <c r="D155" s="66" t="s">
        <v>55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656</v>
      </c>
      <c r="C156" s="63" t="s">
        <v>657</v>
      </c>
      <c r="D156" s="66" t="s">
        <v>55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452</v>
      </c>
      <c r="C157" s="63" t="s">
        <v>453</v>
      </c>
      <c r="D157" s="66" t="s">
        <v>55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364</v>
      </c>
      <c r="C158" s="63" t="s">
        <v>365</v>
      </c>
      <c r="D158" s="66" t="s">
        <v>55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658</v>
      </c>
      <c r="C159" s="63" t="s">
        <v>659</v>
      </c>
      <c r="D159" s="66" t="s">
        <v>55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660</v>
      </c>
      <c r="C160" s="63" t="s">
        <v>661</v>
      </c>
      <c r="D160" s="66" t="s">
        <v>55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240</v>
      </c>
      <c r="C161" s="63" t="s">
        <v>241</v>
      </c>
      <c r="D161" s="66" t="s">
        <v>55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1013</v>
      </c>
      <c r="C162" s="63" t="s">
        <v>1014</v>
      </c>
      <c r="D162" s="66" t="s">
        <v>55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827</v>
      </c>
      <c r="C163" s="58" t="s">
        <v>828</v>
      </c>
      <c r="D163" s="55" t="s">
        <v>55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1613</v>
      </c>
      <c r="C164" s="63" t="s">
        <v>662</v>
      </c>
      <c r="D164" s="66" t="s">
        <v>55</v>
      </c>
      <c r="E164" s="50" t="str">
        <f t="shared" si="4"/>
        <v>Замурагин Юрий Михайлович;6-18РМ037/2018;814937;№6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Михайлович;6-18РМ037/2018;814937;№6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242</v>
      </c>
      <c r="C165" s="63" t="s">
        <v>243</v>
      </c>
      <c r="D165" s="66" t="s">
        <v>55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366</v>
      </c>
      <c r="C166" s="63" t="s">
        <v>367</v>
      </c>
      <c r="D166" s="66" t="s">
        <v>55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244</v>
      </c>
      <c r="C167" s="63" t="s">
        <v>245</v>
      </c>
      <c r="D167" s="66" t="s">
        <v>55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98</v>
      </c>
      <c r="C168" s="63" t="s">
        <v>99</v>
      </c>
      <c r="D168" s="66" t="s">
        <v>55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1073</v>
      </c>
      <c r="C169" s="63" t="s">
        <v>1074</v>
      </c>
      <c r="D169" s="66" t="s">
        <v>55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663</v>
      </c>
      <c r="C170" s="63" t="s">
        <v>664</v>
      </c>
      <c r="D170" s="66" t="s">
        <v>55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552</v>
      </c>
      <c r="C171" s="63" t="s">
        <v>553</v>
      </c>
      <c r="D171" s="66" t="s">
        <v>55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665</v>
      </c>
      <c r="C172" s="63" t="s">
        <v>666</v>
      </c>
      <c r="D172" s="66" t="s">
        <v>55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506</v>
      </c>
      <c r="C173" s="63" t="s">
        <v>507</v>
      </c>
      <c r="D173" s="66" t="s">
        <v>55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368</v>
      </c>
      <c r="C174" s="63" t="s">
        <v>369</v>
      </c>
      <c r="D174" s="66" t="s">
        <v>55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1015</v>
      </c>
      <c r="C175" s="63" t="s">
        <v>1016</v>
      </c>
      <c r="D175" s="66" t="s">
        <v>55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883</v>
      </c>
      <c r="C176" s="58" t="s">
        <v>884</v>
      </c>
      <c r="D176" s="55" t="s">
        <v>55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885</v>
      </c>
      <c r="C177" s="58" t="s">
        <v>886</v>
      </c>
      <c r="D177" s="55" t="s">
        <v>55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246</v>
      </c>
      <c r="C178" s="63" t="s">
        <v>247</v>
      </c>
      <c r="D178" s="66" t="s">
        <v>55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250</v>
      </c>
      <c r="C179" s="63" t="s">
        <v>251</v>
      </c>
      <c r="D179" s="66" t="s">
        <v>55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100</v>
      </c>
      <c r="C180" s="63" t="s">
        <v>101</v>
      </c>
      <c r="D180" s="66" t="s">
        <v>55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1115</v>
      </c>
      <c r="C181" s="63" t="s">
        <v>1116</v>
      </c>
      <c r="D181" s="66" t="s">
        <v>55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370</v>
      </c>
      <c r="C182" s="63" t="s">
        <v>371</v>
      </c>
      <c r="D182" s="66" t="s">
        <v>55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508</v>
      </c>
      <c r="C183" s="63" t="s">
        <v>509</v>
      </c>
      <c r="D183" s="66" t="s">
        <v>55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248</v>
      </c>
      <c r="C184" s="63" t="s">
        <v>249</v>
      </c>
      <c r="D184" s="66" t="s">
        <v>55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582</v>
      </c>
      <c r="C185" s="63" t="s">
        <v>583</v>
      </c>
      <c r="D185" s="66" t="s">
        <v>55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667</v>
      </c>
      <c r="C186" s="63" t="s">
        <v>668</v>
      </c>
      <c r="D186" s="66" t="s">
        <v>55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1137</v>
      </c>
      <c r="C187" s="63" t="s">
        <v>1138</v>
      </c>
      <c r="D187" s="66" t="s">
        <v>55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342</v>
      </c>
      <c r="C188" s="63" t="s">
        <v>343</v>
      </c>
      <c r="D188" s="66" t="s">
        <v>55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669</v>
      </c>
      <c r="C189" s="63" t="s">
        <v>670</v>
      </c>
      <c r="D189" s="66" t="s">
        <v>55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372</v>
      </c>
      <c r="C190" s="63" t="s">
        <v>373</v>
      </c>
      <c r="D190" s="66" t="s">
        <v>55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374</v>
      </c>
      <c r="C191" s="63" t="s">
        <v>375</v>
      </c>
      <c r="D191" s="66" t="s">
        <v>55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1075</v>
      </c>
      <c r="C192" s="63" t="s">
        <v>1076</v>
      </c>
      <c r="D192" s="66" t="s">
        <v>55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252</v>
      </c>
      <c r="C193" s="63" t="s">
        <v>253</v>
      </c>
      <c r="D193" s="66" t="s">
        <v>55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955</v>
      </c>
      <c r="C194" s="58" t="s">
        <v>956</v>
      </c>
      <c r="D194" s="55" t="s">
        <v>55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869</v>
      </c>
      <c r="C195" s="58" t="s">
        <v>870</v>
      </c>
      <c r="D195" s="55" t="s">
        <v>55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568</v>
      </c>
      <c r="C196" s="63" t="s">
        <v>569</v>
      </c>
      <c r="D196" s="66" t="s">
        <v>55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340</v>
      </c>
      <c r="C197" s="63" t="s">
        <v>341</v>
      </c>
      <c r="D197" s="66" t="s">
        <v>55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887</v>
      </c>
      <c r="C198" s="58" t="s">
        <v>888</v>
      </c>
      <c r="D198" s="55" t="s">
        <v>55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829</v>
      </c>
      <c r="C199" s="58" t="s">
        <v>830</v>
      </c>
      <c r="D199" s="55" t="s">
        <v>55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671</v>
      </c>
      <c r="C200" s="63" t="s">
        <v>672</v>
      </c>
      <c r="D200" s="66" t="s">
        <v>55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460</v>
      </c>
      <c r="C201" s="63" t="s">
        <v>461</v>
      </c>
      <c r="D201" s="66" t="s">
        <v>55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510</v>
      </c>
      <c r="C202" s="63" t="s">
        <v>511</v>
      </c>
      <c r="D202" s="66" t="s">
        <v>55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673</v>
      </c>
      <c r="C203" s="63" t="s">
        <v>674</v>
      </c>
      <c r="D203" s="66" t="s">
        <v>55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512</v>
      </c>
      <c r="C204" s="63" t="s">
        <v>513</v>
      </c>
      <c r="D204" s="66" t="s">
        <v>55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106</v>
      </c>
      <c r="C205" s="63" t="s">
        <v>107</v>
      </c>
      <c r="D205" s="66" t="s">
        <v>55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260</v>
      </c>
      <c r="C206" s="63" t="s">
        <v>261</v>
      </c>
      <c r="D206" s="66" t="s">
        <v>55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889</v>
      </c>
      <c r="C207" s="58" t="s">
        <v>890</v>
      </c>
      <c r="D207" s="55" t="s">
        <v>55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458</v>
      </c>
      <c r="C208" s="63" t="s">
        <v>459</v>
      </c>
      <c r="D208" s="66" t="s">
        <v>55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376</v>
      </c>
      <c r="C209" s="63" t="s">
        <v>377</v>
      </c>
      <c r="D209" s="66" t="s">
        <v>55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254</v>
      </c>
      <c r="C210" s="63" t="s">
        <v>255</v>
      </c>
      <c r="D210" s="66" t="s">
        <v>55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324</v>
      </c>
      <c r="C211" s="63" t="s">
        <v>325</v>
      </c>
      <c r="D211" s="66" t="s">
        <v>55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675</v>
      </c>
      <c r="C212" s="63" t="s">
        <v>676</v>
      </c>
      <c r="D212" s="66" t="s">
        <v>55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190</v>
      </c>
      <c r="C213" s="63" t="s">
        <v>191</v>
      </c>
      <c r="D213" s="66" t="s">
        <v>55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456</v>
      </c>
      <c r="C214" s="63" t="s">
        <v>457</v>
      </c>
      <c r="D214" s="66" t="s">
        <v>55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891</v>
      </c>
      <c r="C215" s="58" t="s">
        <v>892</v>
      </c>
      <c r="D215" s="55" t="s">
        <v>55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1017</v>
      </c>
      <c r="C216" s="63" t="s">
        <v>1018</v>
      </c>
      <c r="D216" s="66" t="s">
        <v>55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454</v>
      </c>
      <c r="C217" s="63" t="s">
        <v>455</v>
      </c>
      <c r="D217" s="66" t="s">
        <v>55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677</v>
      </c>
      <c r="C218" s="63" t="s">
        <v>678</v>
      </c>
      <c r="D218" s="66" t="s">
        <v>55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326</v>
      </c>
      <c r="C219" s="63" t="s">
        <v>327</v>
      </c>
      <c r="D219" s="66" t="s">
        <v>55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1053</v>
      </c>
      <c r="C220" s="63" t="s">
        <v>1054</v>
      </c>
      <c r="D220" s="66" t="s">
        <v>55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679</v>
      </c>
      <c r="C221" s="63" t="s">
        <v>680</v>
      </c>
      <c r="D221" s="66" t="s">
        <v>55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1139</v>
      </c>
      <c r="C222" s="63" t="s">
        <v>1140</v>
      </c>
      <c r="D222" s="66" t="s">
        <v>55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328</v>
      </c>
      <c r="C223" s="63" t="s">
        <v>329</v>
      </c>
      <c r="D223" s="66" t="s">
        <v>55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262</v>
      </c>
      <c r="C224" s="63" t="s">
        <v>263</v>
      </c>
      <c r="D224" s="66" t="s">
        <v>55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574</v>
      </c>
      <c r="C225" s="63" t="s">
        <v>575</v>
      </c>
      <c r="D225" s="66" t="s">
        <v>55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907</v>
      </c>
      <c r="C226" s="58" t="s">
        <v>908</v>
      </c>
      <c r="D226" s="55" t="s">
        <v>55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378</v>
      </c>
      <c r="C227" s="63" t="s">
        <v>379</v>
      </c>
      <c r="D227" s="66" t="s">
        <v>55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855</v>
      </c>
      <c r="C228" s="58" t="s">
        <v>856</v>
      </c>
      <c r="D228" s="55" t="s">
        <v>55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380</v>
      </c>
      <c r="C229" s="63" t="s">
        <v>381</v>
      </c>
      <c r="D229" s="66" t="s">
        <v>55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178</v>
      </c>
      <c r="C230" s="63" t="s">
        <v>179</v>
      </c>
      <c r="D230" s="66" t="s">
        <v>55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681</v>
      </c>
      <c r="C231" s="63" t="s">
        <v>682</v>
      </c>
      <c r="D231" s="66" t="s">
        <v>55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184</v>
      </c>
      <c r="C232" s="63" t="s">
        <v>185</v>
      </c>
      <c r="D232" s="66" t="s">
        <v>55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108</v>
      </c>
      <c r="C233" s="63" t="s">
        <v>109</v>
      </c>
      <c r="D233" s="66" t="s">
        <v>55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831</v>
      </c>
      <c r="C234" s="58" t="s">
        <v>832</v>
      </c>
      <c r="D234" s="55" t="s">
        <v>55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256</v>
      </c>
      <c r="C235" s="63" t="s">
        <v>257</v>
      </c>
      <c r="D235" s="66" t="s">
        <v>55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683</v>
      </c>
      <c r="C236" s="63" t="s">
        <v>684</v>
      </c>
      <c r="D236" s="66" t="s">
        <v>55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685</v>
      </c>
      <c r="C237" s="63" t="s">
        <v>686</v>
      </c>
      <c r="D237" s="66" t="s">
        <v>55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258</v>
      </c>
      <c r="C238" s="63" t="s">
        <v>259</v>
      </c>
      <c r="D238" s="66" t="s">
        <v>55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1101</v>
      </c>
      <c r="C239" s="63" t="s">
        <v>1102</v>
      </c>
      <c r="D239" s="66" t="s">
        <v>55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104</v>
      </c>
      <c r="C240" s="63" t="s">
        <v>105</v>
      </c>
      <c r="D240" s="66" t="s">
        <v>55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504</v>
      </c>
      <c r="C241" s="63" t="s">
        <v>505</v>
      </c>
      <c r="D241" s="66" t="s">
        <v>55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687</v>
      </c>
      <c r="C242" s="63" t="s">
        <v>688</v>
      </c>
      <c r="D242" s="66" t="s">
        <v>55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893</v>
      </c>
      <c r="C243" s="58" t="s">
        <v>894</v>
      </c>
      <c r="D243" s="55" t="s">
        <v>55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1105</v>
      </c>
      <c r="C244" s="63" t="s">
        <v>1106</v>
      </c>
      <c r="D244" s="66" t="s">
        <v>55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514</v>
      </c>
      <c r="C245" s="63" t="s">
        <v>515</v>
      </c>
      <c r="D245" s="66" t="s">
        <v>55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689</v>
      </c>
      <c r="C246" s="63" t="s">
        <v>690</v>
      </c>
      <c r="D246" s="66" t="s">
        <v>55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264</v>
      </c>
      <c r="C247" s="63" t="s">
        <v>265</v>
      </c>
      <c r="D247" s="66" t="s">
        <v>55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102</v>
      </c>
      <c r="C248" s="63" t="s">
        <v>103</v>
      </c>
      <c r="D248" s="66" t="s">
        <v>55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965</v>
      </c>
      <c r="C249" s="58" t="s">
        <v>966</v>
      </c>
      <c r="D249" s="55" t="s">
        <v>55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62</v>
      </c>
      <c r="C250" s="63" t="s">
        <v>63</v>
      </c>
      <c r="D250" s="66" t="s">
        <v>55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1007</v>
      </c>
      <c r="C251" s="63" t="s">
        <v>1008</v>
      </c>
      <c r="D251" s="66" t="s">
        <v>55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462</v>
      </c>
      <c r="C252" s="63" t="s">
        <v>463</v>
      </c>
      <c r="D252" s="66" t="s">
        <v>55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691</v>
      </c>
      <c r="C253" s="63" t="s">
        <v>692</v>
      </c>
      <c r="D253" s="66" t="s">
        <v>55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833</v>
      </c>
      <c r="C254" s="58" t="s">
        <v>834</v>
      </c>
      <c r="D254" s="55" t="s">
        <v>55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935</v>
      </c>
      <c r="C255" s="58" t="s">
        <v>936</v>
      </c>
      <c r="D255" s="55" t="s">
        <v>55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693</v>
      </c>
      <c r="C256" s="63" t="s">
        <v>694</v>
      </c>
      <c r="D256" s="66" t="s">
        <v>55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322</v>
      </c>
      <c r="C257" s="63" t="s">
        <v>323</v>
      </c>
      <c r="D257" s="66" t="s">
        <v>55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695</v>
      </c>
      <c r="C258" s="58" t="s">
        <v>696</v>
      </c>
      <c r="D258" s="55" t="s">
        <v>55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697</v>
      </c>
      <c r="C259" s="58" t="s">
        <v>698</v>
      </c>
      <c r="D259" s="55" t="s">
        <v>55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977</v>
      </c>
      <c r="C260" s="58" t="s">
        <v>978</v>
      </c>
      <c r="D260" s="55" t="s">
        <v>55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1099</v>
      </c>
      <c r="C261" s="63" t="s">
        <v>1100</v>
      </c>
      <c r="D261" s="66" t="s">
        <v>55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699</v>
      </c>
      <c r="C262" s="58" t="s">
        <v>700</v>
      </c>
      <c r="D262" s="55" t="s">
        <v>55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1193</v>
      </c>
      <c r="C263" s="63" t="s">
        <v>1194</v>
      </c>
      <c r="D263" s="66" t="s">
        <v>55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1109</v>
      </c>
      <c r="C264" s="63" t="s">
        <v>1110</v>
      </c>
      <c r="D264" s="66" t="s">
        <v>55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895</v>
      </c>
      <c r="C265" s="58" t="s">
        <v>896</v>
      </c>
      <c r="D265" s="55" t="s">
        <v>55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464</v>
      </c>
      <c r="C266" s="63" t="s">
        <v>465</v>
      </c>
      <c r="D266" s="66" t="s">
        <v>55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1141</v>
      </c>
      <c r="C267" s="63" t="s">
        <v>1142</v>
      </c>
      <c r="D267" s="66" t="s">
        <v>55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701</v>
      </c>
      <c r="C268" s="58" t="s">
        <v>702</v>
      </c>
      <c r="D268" s="55" t="s">
        <v>55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959</v>
      </c>
      <c r="C269" s="58" t="s">
        <v>960</v>
      </c>
      <c r="D269" s="55" t="s">
        <v>55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554</v>
      </c>
      <c r="C270" s="63" t="s">
        <v>555</v>
      </c>
      <c r="D270" s="66" t="s">
        <v>55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933</v>
      </c>
      <c r="C271" s="58" t="s">
        <v>934</v>
      </c>
      <c r="D271" s="55" t="s">
        <v>55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957</v>
      </c>
      <c r="C272" s="58" t="s">
        <v>958</v>
      </c>
      <c r="D272" s="55" t="s">
        <v>55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703</v>
      </c>
      <c r="C273" s="58" t="s">
        <v>704</v>
      </c>
      <c r="D273" s="55" t="s">
        <v>55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1145</v>
      </c>
      <c r="C274" s="63" t="s">
        <v>1146</v>
      </c>
      <c r="D274" s="66" t="s">
        <v>55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1185</v>
      </c>
      <c r="C275" s="63" t="s">
        <v>1186</v>
      </c>
      <c r="D275" s="66" t="s">
        <v>55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1077</v>
      </c>
      <c r="C276" s="63" t="s">
        <v>1078</v>
      </c>
      <c r="D276" s="66" t="s">
        <v>55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1143</v>
      </c>
      <c r="C277" s="63" t="s">
        <v>1144</v>
      </c>
      <c r="D277" s="66" t="s">
        <v>55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705</v>
      </c>
      <c r="C278" s="58" t="s">
        <v>706</v>
      </c>
      <c r="D278" s="55" t="s">
        <v>55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110</v>
      </c>
      <c r="C279" s="63" t="s">
        <v>111</v>
      </c>
      <c r="D279" s="66" t="s">
        <v>55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1147</v>
      </c>
      <c r="C280" s="63" t="s">
        <v>1148</v>
      </c>
      <c r="D280" s="66" t="s">
        <v>55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707</v>
      </c>
      <c r="C281" s="58" t="s">
        <v>708</v>
      </c>
      <c r="D281" s="55" t="s">
        <v>55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266</v>
      </c>
      <c r="C282" s="63" t="s">
        <v>267</v>
      </c>
      <c r="D282" s="66" t="s">
        <v>55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382</v>
      </c>
      <c r="C283" s="63" t="s">
        <v>383</v>
      </c>
      <c r="D283" s="66" t="s">
        <v>55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865</v>
      </c>
      <c r="C284" s="58" t="s">
        <v>866</v>
      </c>
      <c r="D284" s="55" t="s">
        <v>55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1055</v>
      </c>
      <c r="C285" s="63" t="s">
        <v>1056</v>
      </c>
      <c r="D285" s="66" t="s">
        <v>55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1039</v>
      </c>
      <c r="C286" s="63" t="s">
        <v>1040</v>
      </c>
      <c r="D286" s="66" t="s">
        <v>55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709</v>
      </c>
      <c r="C287" s="58" t="s">
        <v>710</v>
      </c>
      <c r="D287" s="55" t="s">
        <v>55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711</v>
      </c>
      <c r="C288" s="58" t="s">
        <v>712</v>
      </c>
      <c r="D288" s="55" t="s">
        <v>55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116</v>
      </c>
      <c r="C289" s="63" t="s">
        <v>117</v>
      </c>
      <c r="D289" s="66" t="s">
        <v>55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268</v>
      </c>
      <c r="C290" s="63" t="s">
        <v>269</v>
      </c>
      <c r="D290" s="66" t="s">
        <v>55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516</v>
      </c>
      <c r="C291" s="63" t="s">
        <v>517</v>
      </c>
      <c r="D291" s="66" t="s">
        <v>55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584</v>
      </c>
      <c r="C292" s="63" t="s">
        <v>585</v>
      </c>
      <c r="D292" s="66" t="s">
        <v>55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835</v>
      </c>
      <c r="C293" s="58" t="s">
        <v>836</v>
      </c>
      <c r="D293" s="55" t="s">
        <v>55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1149</v>
      </c>
      <c r="C294" s="63" t="s">
        <v>1150</v>
      </c>
      <c r="D294" s="66" t="s">
        <v>55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941</v>
      </c>
      <c r="C295" s="58" t="s">
        <v>942</v>
      </c>
      <c r="D295" s="55" t="s">
        <v>55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384</v>
      </c>
      <c r="C296" s="63" t="s">
        <v>385</v>
      </c>
      <c r="D296" s="66" t="s">
        <v>55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1151</v>
      </c>
      <c r="C297" s="63" t="s">
        <v>1152</v>
      </c>
      <c r="D297" s="66" t="s">
        <v>55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330</v>
      </c>
      <c r="C298" s="63" t="s">
        <v>331</v>
      </c>
      <c r="D298" s="66" t="s">
        <v>55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967</v>
      </c>
      <c r="C299" s="58" t="s">
        <v>968</v>
      </c>
      <c r="D299" s="55" t="s">
        <v>55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468</v>
      </c>
      <c r="C300" s="63" t="s">
        <v>469</v>
      </c>
      <c r="D300" s="66" t="s">
        <v>55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837</v>
      </c>
      <c r="C301" s="58" t="s">
        <v>838</v>
      </c>
      <c r="D301" s="55" t="s">
        <v>55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839</v>
      </c>
      <c r="C302" s="58" t="s">
        <v>840</v>
      </c>
      <c r="D302" s="55" t="s">
        <v>55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897</v>
      </c>
      <c r="C303" s="58" t="s">
        <v>898</v>
      </c>
      <c r="D303" s="55" t="s">
        <v>55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466</v>
      </c>
      <c r="C304" s="63" t="s">
        <v>467</v>
      </c>
      <c r="D304" s="66" t="s">
        <v>55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386</v>
      </c>
      <c r="C305" s="63" t="s">
        <v>387</v>
      </c>
      <c r="D305" s="66" t="s">
        <v>55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114</v>
      </c>
      <c r="C306" s="63" t="s">
        <v>115</v>
      </c>
      <c r="D306" s="66" t="s">
        <v>55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186</v>
      </c>
      <c r="C307" s="63" t="s">
        <v>187</v>
      </c>
      <c r="D307" s="66" t="s">
        <v>55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1079</v>
      </c>
      <c r="C308" s="63" t="s">
        <v>1080</v>
      </c>
      <c r="D308" s="66" t="s">
        <v>55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1081</v>
      </c>
      <c r="C309" s="63" t="s">
        <v>1082</v>
      </c>
      <c r="D309" s="66" t="s">
        <v>55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713</v>
      </c>
      <c r="C310" s="58" t="s">
        <v>714</v>
      </c>
      <c r="D310" s="55" t="s">
        <v>55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715</v>
      </c>
      <c r="C311" s="58" t="s">
        <v>716</v>
      </c>
      <c r="D311" s="55" t="s">
        <v>55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612</v>
      </c>
      <c r="C312" s="63" t="s">
        <v>613</v>
      </c>
      <c r="D312" s="66" t="s">
        <v>55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200</v>
      </c>
      <c r="C313" s="63" t="s">
        <v>201</v>
      </c>
      <c r="D313" s="66" t="s">
        <v>55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112</v>
      </c>
      <c r="C314" s="63" t="s">
        <v>113</v>
      </c>
      <c r="D314" s="66" t="s">
        <v>55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717</v>
      </c>
      <c r="C315" s="58" t="s">
        <v>718</v>
      </c>
      <c r="D315" s="55" t="s">
        <v>55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719</v>
      </c>
      <c r="C316" s="58" t="s">
        <v>720</v>
      </c>
      <c r="D316" s="55" t="s">
        <v>55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929</v>
      </c>
      <c r="C317" s="58" t="s">
        <v>930</v>
      </c>
      <c r="D317" s="55" t="s">
        <v>55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518</v>
      </c>
      <c r="C318" s="63" t="s">
        <v>519</v>
      </c>
      <c r="D318" s="66" t="s">
        <v>55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270</v>
      </c>
      <c r="C319" s="63" t="s">
        <v>271</v>
      </c>
      <c r="D319" s="66" t="s">
        <v>55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118</v>
      </c>
      <c r="C320" s="63" t="s">
        <v>119</v>
      </c>
      <c r="D320" s="66" t="s">
        <v>55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120</v>
      </c>
      <c r="C321" s="63" t="s">
        <v>121</v>
      </c>
      <c r="D321" s="66" t="s">
        <v>55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470</v>
      </c>
      <c r="C322" s="53" t="s">
        <v>471</v>
      </c>
      <c r="D322" s="57" t="s">
        <v>55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388</v>
      </c>
      <c r="C323" s="53" t="s">
        <v>389</v>
      </c>
      <c r="D323" s="57" t="s">
        <v>55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472</v>
      </c>
      <c r="C324" s="53" t="s">
        <v>473</v>
      </c>
      <c r="D324" s="57" t="s">
        <v>55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721</v>
      </c>
      <c r="C325" s="64" t="s">
        <v>722</v>
      </c>
      <c r="D325" s="67" t="s">
        <v>55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911</v>
      </c>
      <c r="C326" s="64" t="s">
        <v>912</v>
      </c>
      <c r="D326" s="67" t="s">
        <v>55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931</v>
      </c>
      <c r="C327" s="64" t="s">
        <v>932</v>
      </c>
      <c r="D327" s="67" t="s">
        <v>55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1187</v>
      </c>
      <c r="C328" s="53" t="s">
        <v>1188</v>
      </c>
      <c r="D328" s="57" t="s">
        <v>55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122</v>
      </c>
      <c r="C329" s="53" t="s">
        <v>123</v>
      </c>
      <c r="D329" s="57" t="s">
        <v>55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1153</v>
      </c>
      <c r="C330" s="53" t="s">
        <v>1154</v>
      </c>
      <c r="D330" s="57" t="s">
        <v>55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474</v>
      </c>
      <c r="C331" s="53" t="s">
        <v>475</v>
      </c>
      <c r="D331" s="57" t="s">
        <v>55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124</v>
      </c>
      <c r="C332" s="53" t="s">
        <v>125</v>
      </c>
      <c r="D332" s="57" t="s">
        <v>55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350</v>
      </c>
      <c r="C333" s="53" t="s">
        <v>351</v>
      </c>
      <c r="D333" s="57" t="s">
        <v>55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590</v>
      </c>
      <c r="C334" s="53" t="s">
        <v>591</v>
      </c>
      <c r="D334" s="57" t="s">
        <v>55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1161</v>
      </c>
      <c r="C335" s="53" t="s">
        <v>1162</v>
      </c>
      <c r="D335" s="57" t="s">
        <v>55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64</v>
      </c>
      <c r="C336" s="53" t="s">
        <v>65</v>
      </c>
      <c r="D336" s="57" t="s">
        <v>55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1083</v>
      </c>
      <c r="C337" s="53" t="s">
        <v>1084</v>
      </c>
      <c r="D337" s="57" t="s">
        <v>55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1155</v>
      </c>
      <c r="C338" s="53" t="s">
        <v>1156</v>
      </c>
      <c r="D338" s="57" t="s">
        <v>55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1157</v>
      </c>
      <c r="C339" s="53" t="s">
        <v>1158</v>
      </c>
      <c r="D339" s="57" t="s">
        <v>55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520</v>
      </c>
      <c r="C340" s="53" t="s">
        <v>521</v>
      </c>
      <c r="D340" s="57" t="s">
        <v>55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126</v>
      </c>
      <c r="C341" s="53" t="s">
        <v>127</v>
      </c>
      <c r="D341" s="57" t="s">
        <v>55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723</v>
      </c>
      <c r="C342" s="64" t="s">
        <v>724</v>
      </c>
      <c r="D342" s="67" t="s">
        <v>55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725</v>
      </c>
      <c r="C343" s="64" t="s">
        <v>726</v>
      </c>
      <c r="D343" s="67" t="s">
        <v>55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476</v>
      </c>
      <c r="C344" s="53" t="s">
        <v>477</v>
      </c>
      <c r="D344" s="57" t="s">
        <v>55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128</v>
      </c>
      <c r="C345" s="53" t="s">
        <v>129</v>
      </c>
      <c r="D345" s="57" t="s">
        <v>55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727</v>
      </c>
      <c r="C346" s="64" t="s">
        <v>728</v>
      </c>
      <c r="D346" s="67" t="s">
        <v>55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969</v>
      </c>
      <c r="C347" s="64" t="s">
        <v>970</v>
      </c>
      <c r="D347" s="67" t="s">
        <v>55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729</v>
      </c>
      <c r="C348" s="64" t="s">
        <v>730</v>
      </c>
      <c r="D348" s="67" t="s">
        <v>55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66</v>
      </c>
      <c r="C349" s="53" t="s">
        <v>67</v>
      </c>
      <c r="D349" s="57" t="s">
        <v>55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390</v>
      </c>
      <c r="C350" s="53" t="s">
        <v>391</v>
      </c>
      <c r="D350" s="57" t="s">
        <v>55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1031</v>
      </c>
      <c r="C351" s="53" t="s">
        <v>1032</v>
      </c>
      <c r="D351" s="57" t="s">
        <v>55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1159</v>
      </c>
      <c r="C352" s="53" t="s">
        <v>1160</v>
      </c>
      <c r="D352" s="57" t="s">
        <v>55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522</v>
      </c>
      <c r="C353" s="53" t="s">
        <v>523</v>
      </c>
      <c r="D353" s="57" t="s">
        <v>55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909</v>
      </c>
      <c r="C354" s="64" t="s">
        <v>910</v>
      </c>
      <c r="D354" s="67" t="s">
        <v>55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985</v>
      </c>
      <c r="C355" s="53" t="s">
        <v>986</v>
      </c>
      <c r="D355" s="57" t="s">
        <v>55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604</v>
      </c>
      <c r="C356" s="53" t="s">
        <v>605</v>
      </c>
      <c r="D356" s="57" t="s">
        <v>55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867</v>
      </c>
      <c r="C357" s="64" t="s">
        <v>868</v>
      </c>
      <c r="D357" s="67" t="s">
        <v>55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731</v>
      </c>
      <c r="C358" s="64" t="s">
        <v>732</v>
      </c>
      <c r="D358" s="67" t="s">
        <v>55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68</v>
      </c>
      <c r="C359" s="53" t="s">
        <v>69</v>
      </c>
      <c r="D359" s="57" t="s">
        <v>55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1033</v>
      </c>
      <c r="C360" s="53" t="s">
        <v>1034</v>
      </c>
      <c r="D360" s="57" t="s">
        <v>55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1195</v>
      </c>
      <c r="C361" s="53" t="s">
        <v>1196</v>
      </c>
      <c r="D361" s="57" t="s">
        <v>55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332</v>
      </c>
      <c r="C362" s="53" t="s">
        <v>333</v>
      </c>
      <c r="D362" s="57" t="s">
        <v>55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272</v>
      </c>
      <c r="C363" s="53" t="s">
        <v>273</v>
      </c>
      <c r="D363" s="57" t="s">
        <v>55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925</v>
      </c>
      <c r="C364" s="64" t="s">
        <v>926</v>
      </c>
      <c r="D364" s="67" t="s">
        <v>55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733</v>
      </c>
      <c r="C365" s="64" t="s">
        <v>734</v>
      </c>
      <c r="D365" s="67" t="s">
        <v>55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524</v>
      </c>
      <c r="C366" s="53" t="s">
        <v>525</v>
      </c>
      <c r="D366" s="57" t="s">
        <v>55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991</v>
      </c>
      <c r="C367" s="53" t="s">
        <v>992</v>
      </c>
      <c r="D367" s="57" t="s">
        <v>55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276</v>
      </c>
      <c r="C368" s="53" t="s">
        <v>277</v>
      </c>
      <c r="D368" s="57" t="s">
        <v>55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1043</v>
      </c>
      <c r="C369" s="53" t="s">
        <v>1044</v>
      </c>
      <c r="D369" s="57" t="s">
        <v>55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735</v>
      </c>
      <c r="C370" s="64" t="s">
        <v>736</v>
      </c>
      <c r="D370" s="67" t="s">
        <v>55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915</v>
      </c>
      <c r="C371" s="64" t="s">
        <v>916</v>
      </c>
      <c r="D371" s="67" t="s">
        <v>55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737</v>
      </c>
      <c r="C372" s="64" t="s">
        <v>738</v>
      </c>
      <c r="D372" s="67" t="s">
        <v>55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480</v>
      </c>
      <c r="C373" s="53" t="s">
        <v>481</v>
      </c>
      <c r="D373" s="57" t="s">
        <v>55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136</v>
      </c>
      <c r="C374" s="53" t="s">
        <v>137</v>
      </c>
      <c r="D374" s="57" t="s">
        <v>55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528</v>
      </c>
      <c r="C375" s="53" t="s">
        <v>529</v>
      </c>
      <c r="D375" s="57" t="s">
        <v>55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1035</v>
      </c>
      <c r="C376" s="53" t="s">
        <v>1036</v>
      </c>
      <c r="D376" s="57" t="s">
        <v>55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274</v>
      </c>
      <c r="C377" s="53" t="s">
        <v>275</v>
      </c>
      <c r="D377" s="57" t="s">
        <v>55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739</v>
      </c>
      <c r="C378" s="64" t="s">
        <v>740</v>
      </c>
      <c r="D378" s="67" t="s">
        <v>55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741</v>
      </c>
      <c r="C379" s="64" t="s">
        <v>742</v>
      </c>
      <c r="D379" s="67" t="s">
        <v>55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134</v>
      </c>
      <c r="C380" s="53" t="s">
        <v>135</v>
      </c>
      <c r="D380" s="57" t="s">
        <v>55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743</v>
      </c>
      <c r="C381" s="64" t="s">
        <v>744</v>
      </c>
      <c r="D381" s="67" t="s">
        <v>55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745</v>
      </c>
      <c r="C382" s="64" t="s">
        <v>746</v>
      </c>
      <c r="D382" s="67" t="s">
        <v>55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334</v>
      </c>
      <c r="C383" s="53" t="s">
        <v>335</v>
      </c>
      <c r="D383" s="57" t="s">
        <v>55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857</v>
      </c>
      <c r="C384" s="64" t="s">
        <v>858</v>
      </c>
      <c r="D384" s="67" t="s">
        <v>55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526</v>
      </c>
      <c r="C385" s="53" t="s">
        <v>527</v>
      </c>
      <c r="D385" s="57" t="s">
        <v>55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132</v>
      </c>
      <c r="C386" s="53" t="s">
        <v>133</v>
      </c>
      <c r="D386" s="57" t="s">
        <v>55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1041</v>
      </c>
      <c r="C387" s="53" t="s">
        <v>1042</v>
      </c>
      <c r="D387" s="57" t="s">
        <v>55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578</v>
      </c>
      <c r="C388" s="53" t="s">
        <v>579</v>
      </c>
      <c r="D388" s="57" t="s">
        <v>55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841</v>
      </c>
      <c r="C389" s="64" t="s">
        <v>842</v>
      </c>
      <c r="D389" s="67" t="s">
        <v>55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596</v>
      </c>
      <c r="C390" s="53" t="s">
        <v>597</v>
      </c>
      <c r="D390" s="57" t="s">
        <v>55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1191</v>
      </c>
      <c r="C391" s="53" t="s">
        <v>1192</v>
      </c>
      <c r="D391" s="57" t="s">
        <v>55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556</v>
      </c>
      <c r="C392" s="53" t="s">
        <v>557</v>
      </c>
      <c r="D392" s="57" t="s">
        <v>55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951</v>
      </c>
      <c r="C393" s="64" t="s">
        <v>952</v>
      </c>
      <c r="D393" s="67" t="s">
        <v>55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1027</v>
      </c>
      <c r="C394" s="53" t="s">
        <v>1028</v>
      </c>
      <c r="D394" s="57" t="s">
        <v>55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130</v>
      </c>
      <c r="C395" s="53" t="s">
        <v>131</v>
      </c>
      <c r="D395" s="57" t="s">
        <v>55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600</v>
      </c>
      <c r="C396" s="53" t="s">
        <v>601</v>
      </c>
      <c r="D396" s="57" t="s">
        <v>55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899</v>
      </c>
      <c r="C397" s="64" t="s">
        <v>900</v>
      </c>
      <c r="D397" s="67" t="s">
        <v>55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188</v>
      </c>
      <c r="C398" s="53" t="s">
        <v>189</v>
      </c>
      <c r="D398" s="57" t="s">
        <v>55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344</v>
      </c>
      <c r="C399" s="53" t="s">
        <v>345</v>
      </c>
      <c r="D399" s="57" t="s">
        <v>55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194</v>
      </c>
      <c r="C400" s="53" t="s">
        <v>195</v>
      </c>
      <c r="D400" s="57" t="s">
        <v>55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602</v>
      </c>
      <c r="C401" s="53" t="s">
        <v>603</v>
      </c>
      <c r="D401" s="57" t="s">
        <v>55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478</v>
      </c>
      <c r="C402" s="53" t="s">
        <v>479</v>
      </c>
      <c r="D402" s="57" t="s">
        <v>55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392</v>
      </c>
      <c r="C403" s="53" t="s">
        <v>393</v>
      </c>
      <c r="D403" s="57" t="s">
        <v>55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394</v>
      </c>
      <c r="C404" s="53" t="s">
        <v>395</v>
      </c>
      <c r="D404" s="57" t="s">
        <v>55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278</v>
      </c>
      <c r="C405" s="53" t="s">
        <v>279</v>
      </c>
      <c r="D405" s="57" t="s">
        <v>55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979</v>
      </c>
      <c r="C406" s="53" t="s">
        <v>980</v>
      </c>
      <c r="D406" s="57" t="s">
        <v>55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1103</v>
      </c>
      <c r="C407" s="53" t="s">
        <v>1104</v>
      </c>
      <c r="D407" s="57" t="s">
        <v>55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280</v>
      </c>
      <c r="C408" s="53" t="s">
        <v>281</v>
      </c>
      <c r="D408" s="57" t="s">
        <v>55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336</v>
      </c>
      <c r="C409" s="53" t="s">
        <v>337</v>
      </c>
      <c r="D409" s="57" t="s">
        <v>55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144</v>
      </c>
      <c r="C410" s="53" t="s">
        <v>145</v>
      </c>
      <c r="D410" s="57" t="s">
        <v>55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282</v>
      </c>
      <c r="C411" s="53" t="s">
        <v>283</v>
      </c>
      <c r="D411" s="57" t="s">
        <v>55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140</v>
      </c>
      <c r="C412" s="53" t="s">
        <v>141</v>
      </c>
      <c r="D412" s="57" t="s">
        <v>55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138</v>
      </c>
      <c r="C413" s="53" t="s">
        <v>139</v>
      </c>
      <c r="D413" s="57" t="s">
        <v>55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1003</v>
      </c>
      <c r="C414" s="53" t="s">
        <v>1004</v>
      </c>
      <c r="D414" s="57" t="s">
        <v>55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747</v>
      </c>
      <c r="C415" s="64" t="s">
        <v>748</v>
      </c>
      <c r="D415" s="67" t="s">
        <v>55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284</v>
      </c>
      <c r="C416" s="53" t="s">
        <v>285</v>
      </c>
      <c r="D416" s="57" t="s">
        <v>55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749</v>
      </c>
      <c r="C417" s="64" t="s">
        <v>750</v>
      </c>
      <c r="D417" s="67" t="s">
        <v>55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142</v>
      </c>
      <c r="C418" s="53" t="s">
        <v>143</v>
      </c>
      <c r="D418" s="57" t="s">
        <v>55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995</v>
      </c>
      <c r="C419" s="53" t="s">
        <v>996</v>
      </c>
      <c r="D419" s="57" t="s">
        <v>55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176</v>
      </c>
      <c r="C420" s="53" t="s">
        <v>177</v>
      </c>
      <c r="D420" s="57" t="s">
        <v>55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396</v>
      </c>
      <c r="C421" s="53" t="s">
        <v>397</v>
      </c>
      <c r="D421" s="57" t="s">
        <v>55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751</v>
      </c>
      <c r="C422" s="64" t="s">
        <v>752</v>
      </c>
      <c r="D422" s="67" t="s">
        <v>55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1165</v>
      </c>
      <c r="C423" s="53" t="s">
        <v>1166</v>
      </c>
      <c r="D423" s="57" t="s">
        <v>55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753</v>
      </c>
      <c r="C424" s="64" t="s">
        <v>754</v>
      </c>
      <c r="D424" s="67" t="s">
        <v>55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913</v>
      </c>
      <c r="C425" s="64" t="s">
        <v>914</v>
      </c>
      <c r="D425" s="67" t="s">
        <v>55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146</v>
      </c>
      <c r="C426" s="53" t="s">
        <v>147</v>
      </c>
      <c r="D426" s="57" t="s">
        <v>55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198</v>
      </c>
      <c r="C427" s="53" t="s">
        <v>199</v>
      </c>
      <c r="D427" s="57" t="s">
        <v>55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1019</v>
      </c>
      <c r="C428" s="53" t="s">
        <v>1020</v>
      </c>
      <c r="D428" s="57" t="s">
        <v>55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288</v>
      </c>
      <c r="C429" s="53" t="s">
        <v>289</v>
      </c>
      <c r="D429" s="57" t="s">
        <v>55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482</v>
      </c>
      <c r="C430" s="53" t="s">
        <v>483</v>
      </c>
      <c r="D430" s="57" t="s">
        <v>55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917</v>
      </c>
      <c r="C431" s="64" t="s">
        <v>918</v>
      </c>
      <c r="D431" s="67" t="s">
        <v>55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484</v>
      </c>
      <c r="C432" s="53" t="s">
        <v>485</v>
      </c>
      <c r="D432" s="57" t="s">
        <v>55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755</v>
      </c>
      <c r="C433" s="64" t="s">
        <v>756</v>
      </c>
      <c r="D433" s="67" t="s">
        <v>55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594</v>
      </c>
      <c r="C434" s="53" t="s">
        <v>595</v>
      </c>
      <c r="D434" s="57" t="s">
        <v>55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530</v>
      </c>
      <c r="C435" s="53" t="s">
        <v>531</v>
      </c>
      <c r="D435" s="57" t="s">
        <v>55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757</v>
      </c>
      <c r="C436" s="64" t="s">
        <v>758</v>
      </c>
      <c r="D436" s="67" t="s">
        <v>55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939</v>
      </c>
      <c r="C437" s="64" t="s">
        <v>940</v>
      </c>
      <c r="D437" s="67" t="s">
        <v>55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558</v>
      </c>
      <c r="C438" s="53" t="s">
        <v>559</v>
      </c>
      <c r="D438" s="57" t="s">
        <v>55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174</v>
      </c>
      <c r="C439" s="53" t="s">
        <v>175</v>
      </c>
      <c r="D439" s="57" t="s">
        <v>55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759</v>
      </c>
      <c r="C440" s="64" t="s">
        <v>760</v>
      </c>
      <c r="D440" s="67" t="s">
        <v>55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1037</v>
      </c>
      <c r="C441" s="53" t="s">
        <v>1038</v>
      </c>
      <c r="D441" s="57" t="s">
        <v>55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148</v>
      </c>
      <c r="C442" s="53" t="s">
        <v>149</v>
      </c>
      <c r="D442" s="57" t="s">
        <v>55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588</v>
      </c>
      <c r="C443" s="53" t="s">
        <v>589</v>
      </c>
      <c r="D443" s="57" t="s">
        <v>55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150</v>
      </c>
      <c r="C444" s="53" t="s">
        <v>151</v>
      </c>
      <c r="D444" s="57" t="s">
        <v>55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761</v>
      </c>
      <c r="C445" s="64" t="s">
        <v>762</v>
      </c>
      <c r="D445" s="67" t="s">
        <v>55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1189</v>
      </c>
      <c r="C446" s="53" t="s">
        <v>1190</v>
      </c>
      <c r="D446" s="57" t="s">
        <v>55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843</v>
      </c>
      <c r="C447" s="64" t="s">
        <v>844</v>
      </c>
      <c r="D447" s="67" t="s">
        <v>55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398</v>
      </c>
      <c r="C448" s="53" t="s">
        <v>399</v>
      </c>
      <c r="D448" s="57" t="s">
        <v>55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763</v>
      </c>
      <c r="C449" s="64" t="s">
        <v>764</v>
      </c>
      <c r="D449" s="67" t="s">
        <v>55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290</v>
      </c>
      <c r="C450" s="53" t="s">
        <v>291</v>
      </c>
      <c r="D450" s="57" t="s">
        <v>55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292</v>
      </c>
      <c r="C451" s="53" t="s">
        <v>293</v>
      </c>
      <c r="D451" s="57" t="s">
        <v>55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294</v>
      </c>
      <c r="C452" s="53" t="s">
        <v>295</v>
      </c>
      <c r="D452" s="57" t="s">
        <v>55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296</v>
      </c>
      <c r="C453" s="53" t="s">
        <v>297</v>
      </c>
      <c r="D453" s="57" t="s">
        <v>55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486</v>
      </c>
      <c r="C454" s="53" t="s">
        <v>487</v>
      </c>
      <c r="D454" s="57" t="s">
        <v>55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993</v>
      </c>
      <c r="C455" s="53" t="s">
        <v>994</v>
      </c>
      <c r="D455" s="57" t="s">
        <v>55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901</v>
      </c>
      <c r="C456" s="64" t="s">
        <v>902</v>
      </c>
      <c r="D456" s="67" t="s">
        <v>55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532</v>
      </c>
      <c r="C457" s="53" t="s">
        <v>533</v>
      </c>
      <c r="D457" s="57" t="s">
        <v>55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765</v>
      </c>
      <c r="C458" s="64" t="s">
        <v>766</v>
      </c>
      <c r="D458" s="67" t="s">
        <v>55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863</v>
      </c>
      <c r="C459" s="64" t="s">
        <v>864</v>
      </c>
      <c r="D459" s="67" t="s">
        <v>55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400</v>
      </c>
      <c r="C460" s="53" t="s">
        <v>401</v>
      </c>
      <c r="D460" s="57" t="s">
        <v>55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402</v>
      </c>
      <c r="C461" s="53" t="s">
        <v>403</v>
      </c>
      <c r="D461" s="57" t="s">
        <v>55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534</v>
      </c>
      <c r="C462" s="53" t="s">
        <v>535</v>
      </c>
      <c r="D462" s="57" t="s">
        <v>55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1163</v>
      </c>
      <c r="C463" s="53" t="s">
        <v>1164</v>
      </c>
      <c r="D463" s="57" t="s">
        <v>55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767</v>
      </c>
      <c r="C464" s="58" t="s">
        <v>768</v>
      </c>
      <c r="D464" s="55" t="s">
        <v>55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923</v>
      </c>
      <c r="C465" s="58" t="s">
        <v>924</v>
      </c>
      <c r="D465" s="55" t="s">
        <v>55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975</v>
      </c>
      <c r="C466" s="58" t="s">
        <v>976</v>
      </c>
      <c r="D466" s="55" t="s">
        <v>55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488</v>
      </c>
      <c r="C467" s="68" t="s">
        <v>489</v>
      </c>
      <c r="D467" s="70" t="s">
        <v>55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997</v>
      </c>
      <c r="C468" s="68" t="s">
        <v>998</v>
      </c>
      <c r="D468" s="70" t="s">
        <v>55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1021</v>
      </c>
      <c r="C469" s="68" t="s">
        <v>1022</v>
      </c>
      <c r="D469" s="70" t="s">
        <v>55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286</v>
      </c>
      <c r="C470" s="68" t="s">
        <v>287</v>
      </c>
      <c r="D470" s="70" t="s">
        <v>55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769</v>
      </c>
      <c r="C471" s="58" t="s">
        <v>770</v>
      </c>
      <c r="D471" s="55" t="s">
        <v>55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771</v>
      </c>
      <c r="C472" s="58" t="s">
        <v>772</v>
      </c>
      <c r="D472" s="55" t="s">
        <v>55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298</v>
      </c>
      <c r="C473" s="68" t="s">
        <v>299</v>
      </c>
      <c r="D473" s="70" t="s">
        <v>55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919</v>
      </c>
      <c r="C474" s="58" t="s">
        <v>920</v>
      </c>
      <c r="D474" s="55" t="s">
        <v>55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861</v>
      </c>
      <c r="C475" s="58" t="s">
        <v>862</v>
      </c>
      <c r="D475" s="55" t="s">
        <v>55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149999999999999" customHeight="1" x14ac:dyDescent="0.2">
      <c r="A476" s="69">
        <v>820329</v>
      </c>
      <c r="B476" s="70" t="s">
        <v>1113</v>
      </c>
      <c r="C476" s="68" t="s">
        <v>1114</v>
      </c>
      <c r="D476" s="70" t="s">
        <v>55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149999999999999" customHeight="1" x14ac:dyDescent="0.2">
      <c r="A477" s="69">
        <v>820527</v>
      </c>
      <c r="B477" s="70" t="s">
        <v>1167</v>
      </c>
      <c r="C477" s="68" t="s">
        <v>1168</v>
      </c>
      <c r="D477" s="70" t="s">
        <v>55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149999999999999" customHeight="1" x14ac:dyDescent="0.2">
      <c r="A478" s="55">
        <v>816837</v>
      </c>
      <c r="B478" s="55" t="s">
        <v>845</v>
      </c>
      <c r="C478" s="58" t="s">
        <v>846</v>
      </c>
      <c r="D478" s="55" t="s">
        <v>55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149999999999999" customHeight="1" x14ac:dyDescent="0.2">
      <c r="A479" s="69">
        <v>785114</v>
      </c>
      <c r="B479" s="70" t="s">
        <v>490</v>
      </c>
      <c r="C479" s="68" t="s">
        <v>491</v>
      </c>
      <c r="D479" s="70" t="s">
        <v>55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149999999999999" customHeight="1" x14ac:dyDescent="0.2">
      <c r="A480" s="55">
        <v>815187</v>
      </c>
      <c r="B480" s="55" t="s">
        <v>773</v>
      </c>
      <c r="C480" s="58" t="s">
        <v>774</v>
      </c>
      <c r="D480" s="55" t="s">
        <v>55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149999999999999" customHeight="1" x14ac:dyDescent="0.2">
      <c r="A481" s="69">
        <v>127816</v>
      </c>
      <c r="B481" s="70" t="s">
        <v>154</v>
      </c>
      <c r="C481" s="68" t="s">
        <v>155</v>
      </c>
      <c r="D481" s="70" t="s">
        <v>55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149999999999999" customHeight="1" x14ac:dyDescent="0.2">
      <c r="A482" s="55">
        <v>820670</v>
      </c>
      <c r="B482" s="55" t="s">
        <v>921</v>
      </c>
      <c r="C482" s="58" t="s">
        <v>922</v>
      </c>
      <c r="D482" s="55" t="s">
        <v>55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149999999999999" customHeight="1" x14ac:dyDescent="0.2">
      <c r="A483" s="69">
        <v>785487</v>
      </c>
      <c r="B483" s="70" t="s">
        <v>536</v>
      </c>
      <c r="C483" s="68" t="s">
        <v>537</v>
      </c>
      <c r="D483" s="70" t="s">
        <v>55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149999999999999" customHeight="1" x14ac:dyDescent="0.2">
      <c r="A484" s="69">
        <v>143103</v>
      </c>
      <c r="B484" s="70" t="s">
        <v>300</v>
      </c>
      <c r="C484" s="68" t="s">
        <v>301</v>
      </c>
      <c r="D484" s="70" t="s">
        <v>55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149999999999999" customHeight="1" x14ac:dyDescent="0.2">
      <c r="A485" s="55">
        <v>817764</v>
      </c>
      <c r="B485" s="55" t="s">
        <v>903</v>
      </c>
      <c r="C485" s="58" t="s">
        <v>904</v>
      </c>
      <c r="D485" s="55" t="s">
        <v>55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149999999999999" customHeight="1" x14ac:dyDescent="0.2">
      <c r="A486" s="69">
        <v>785115</v>
      </c>
      <c r="B486" s="70" t="s">
        <v>492</v>
      </c>
      <c r="C486" s="68" t="s">
        <v>493</v>
      </c>
      <c r="D486" s="70" t="s">
        <v>55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149999999999999" customHeight="1" x14ac:dyDescent="0.2">
      <c r="A487" s="69">
        <v>784882</v>
      </c>
      <c r="B487" s="70" t="s">
        <v>404</v>
      </c>
      <c r="C487" s="68" t="s">
        <v>405</v>
      </c>
      <c r="D487" s="70" t="s">
        <v>55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149999999999999" customHeight="1" x14ac:dyDescent="0.2">
      <c r="A488" s="55">
        <v>815188</v>
      </c>
      <c r="B488" s="55" t="s">
        <v>775</v>
      </c>
      <c r="C488" s="58" t="s">
        <v>776</v>
      </c>
      <c r="D488" s="55" t="s">
        <v>55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149999999999999" customHeight="1" x14ac:dyDescent="0.2">
      <c r="A489" s="69">
        <v>127814</v>
      </c>
      <c r="B489" s="70" t="s">
        <v>152</v>
      </c>
      <c r="C489" s="68" t="s">
        <v>153</v>
      </c>
      <c r="D489" s="70" t="s">
        <v>55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149999999999999" customHeight="1" x14ac:dyDescent="0.2">
      <c r="A490" s="55">
        <v>815189</v>
      </c>
      <c r="B490" s="55" t="s">
        <v>777</v>
      </c>
      <c r="C490" s="58" t="s">
        <v>778</v>
      </c>
      <c r="D490" s="55" t="s">
        <v>55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149999999999999" customHeight="1" x14ac:dyDescent="0.2">
      <c r="A491" s="69">
        <v>127818</v>
      </c>
      <c r="B491" s="70" t="s">
        <v>156</v>
      </c>
      <c r="C491" s="68" t="s">
        <v>157</v>
      </c>
      <c r="D491" s="70" t="s">
        <v>55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149999999999999" customHeight="1" x14ac:dyDescent="0.2">
      <c r="A492" s="55">
        <v>815190</v>
      </c>
      <c r="B492" s="55" t="s">
        <v>779</v>
      </c>
      <c r="C492" s="58" t="s">
        <v>780</v>
      </c>
      <c r="D492" s="55" t="s">
        <v>55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149999999999999" customHeight="1" x14ac:dyDescent="0.2">
      <c r="A493" s="69">
        <v>127858</v>
      </c>
      <c r="B493" s="70" t="s">
        <v>172</v>
      </c>
      <c r="C493" s="68" t="s">
        <v>173</v>
      </c>
      <c r="D493" s="70" t="s">
        <v>55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149999999999999" customHeight="1" x14ac:dyDescent="0.2">
      <c r="A494" s="69">
        <v>817776</v>
      </c>
      <c r="B494" s="70" t="s">
        <v>1023</v>
      </c>
      <c r="C494" s="68" t="s">
        <v>1024</v>
      </c>
      <c r="D494" s="70" t="s">
        <v>55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149999999999999" customHeight="1" x14ac:dyDescent="0.2">
      <c r="A495" s="69">
        <v>127857</v>
      </c>
      <c r="B495" s="70" t="s">
        <v>170</v>
      </c>
      <c r="C495" s="68" t="s">
        <v>171</v>
      </c>
      <c r="D495" s="70" t="s">
        <v>55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149999999999999" customHeight="1" x14ac:dyDescent="0.2">
      <c r="A496" s="69">
        <v>820534</v>
      </c>
      <c r="B496" s="70" t="s">
        <v>1169</v>
      </c>
      <c r="C496" s="68" t="s">
        <v>1170</v>
      </c>
      <c r="D496" s="70" t="s">
        <v>55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149999999999999" customHeight="1" x14ac:dyDescent="0.2">
      <c r="A497" s="69">
        <v>815191</v>
      </c>
      <c r="B497" s="70" t="s">
        <v>1057</v>
      </c>
      <c r="C497" s="68" t="s">
        <v>1058</v>
      </c>
      <c r="D497" s="70" t="s">
        <v>55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149999999999999" customHeight="1" x14ac:dyDescent="0.2">
      <c r="A498" s="55">
        <v>815192</v>
      </c>
      <c r="B498" s="55" t="s">
        <v>781</v>
      </c>
      <c r="C498" s="58" t="s">
        <v>782</v>
      </c>
      <c r="D498" s="55" t="s">
        <v>55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149999999999999" customHeight="1" x14ac:dyDescent="0.2">
      <c r="A499" s="72">
        <v>143108</v>
      </c>
      <c r="B499" s="73" t="s">
        <v>302</v>
      </c>
      <c r="C499" s="71" t="s">
        <v>303</v>
      </c>
      <c r="D499" s="73" t="s">
        <v>55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149999999999999" customHeight="1" x14ac:dyDescent="0.2">
      <c r="A500" s="72">
        <v>101417</v>
      </c>
      <c r="B500" s="73" t="s">
        <v>56</v>
      </c>
      <c r="C500" s="71" t="s">
        <v>57</v>
      </c>
      <c r="D500" s="73" t="s">
        <v>55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149999999999999" customHeight="1" x14ac:dyDescent="0.2">
      <c r="A501" s="55">
        <v>815193</v>
      </c>
      <c r="B501" s="55" t="s">
        <v>783</v>
      </c>
      <c r="C501" s="58" t="s">
        <v>784</v>
      </c>
      <c r="D501" s="55" t="s">
        <v>55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149999999999999" customHeight="1" x14ac:dyDescent="0.2">
      <c r="A502" s="72">
        <v>785116</v>
      </c>
      <c r="B502" s="73" t="s">
        <v>494</v>
      </c>
      <c r="C502" s="71" t="s">
        <v>495</v>
      </c>
      <c r="D502" s="73" t="s">
        <v>55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149999999999999" customHeight="1" x14ac:dyDescent="0.2">
      <c r="A503" s="72">
        <v>816140</v>
      </c>
      <c r="B503" s="73" t="s">
        <v>1001</v>
      </c>
      <c r="C503" s="71" t="s">
        <v>1002</v>
      </c>
      <c r="D503" s="73" t="s">
        <v>55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149999999999999" customHeight="1" x14ac:dyDescent="0.2">
      <c r="A504" s="72">
        <v>806263</v>
      </c>
      <c r="B504" s="73" t="s">
        <v>606</v>
      </c>
      <c r="C504" s="71" t="s">
        <v>607</v>
      </c>
      <c r="D504" s="73" t="s">
        <v>55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149999999999999" customHeight="1" x14ac:dyDescent="0.2">
      <c r="A505" s="72">
        <v>127819</v>
      </c>
      <c r="B505" s="73" t="s">
        <v>158</v>
      </c>
      <c r="C505" s="71" t="s">
        <v>159</v>
      </c>
      <c r="D505" s="73" t="s">
        <v>55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149999999999999" customHeight="1" x14ac:dyDescent="0.2">
      <c r="A506" s="72">
        <v>127820</v>
      </c>
      <c r="B506" s="73" t="s">
        <v>160</v>
      </c>
      <c r="C506" s="71" t="s">
        <v>161</v>
      </c>
      <c r="D506" s="73" t="s">
        <v>55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149999999999999" customHeight="1" x14ac:dyDescent="0.2">
      <c r="A507" s="72">
        <v>784883</v>
      </c>
      <c r="B507" s="73" t="s">
        <v>406</v>
      </c>
      <c r="C507" s="71" t="s">
        <v>407</v>
      </c>
      <c r="D507" s="73" t="s">
        <v>55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149999999999999" customHeight="1" x14ac:dyDescent="0.2">
      <c r="A508" s="55">
        <v>821850</v>
      </c>
      <c r="B508" s="55" t="s">
        <v>937</v>
      </c>
      <c r="C508" s="58" t="s">
        <v>938</v>
      </c>
      <c r="D508" s="55" t="s">
        <v>55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149999999999999" customHeight="1" x14ac:dyDescent="0.2">
      <c r="A509" s="72">
        <v>784884</v>
      </c>
      <c r="B509" s="73" t="s">
        <v>408</v>
      </c>
      <c r="C509" s="71" t="s">
        <v>409</v>
      </c>
      <c r="D509" s="73" t="s">
        <v>55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149999999999999" customHeight="1" x14ac:dyDescent="0.2">
      <c r="A510" s="72">
        <v>143111</v>
      </c>
      <c r="B510" s="73" t="s">
        <v>304</v>
      </c>
      <c r="C510" s="71" t="s">
        <v>305</v>
      </c>
      <c r="D510" s="73" t="s">
        <v>55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149999999999999" customHeight="1" x14ac:dyDescent="0.2">
      <c r="A511" s="55">
        <v>815194</v>
      </c>
      <c r="B511" s="55" t="s">
        <v>785</v>
      </c>
      <c r="C511" s="58" t="s">
        <v>786</v>
      </c>
      <c r="D511" s="55" t="s">
        <v>55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149999999999999" customHeight="1" x14ac:dyDescent="0.2">
      <c r="A512" s="72">
        <v>788209</v>
      </c>
      <c r="B512" s="73" t="s">
        <v>560</v>
      </c>
      <c r="C512" s="71" t="s">
        <v>561</v>
      </c>
      <c r="D512" s="73" t="s">
        <v>55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149999999999999" customHeight="1" x14ac:dyDescent="0.2">
      <c r="A513" s="55">
        <v>815195</v>
      </c>
      <c r="B513" s="55" t="s">
        <v>787</v>
      </c>
      <c r="C513" s="58" t="s">
        <v>788</v>
      </c>
      <c r="D513" s="55" t="s">
        <v>55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149999999999999" customHeight="1" x14ac:dyDescent="0.2">
      <c r="A514" s="55">
        <v>815196</v>
      </c>
      <c r="B514" s="55" t="s">
        <v>789</v>
      </c>
      <c r="C514" s="58" t="s">
        <v>790</v>
      </c>
      <c r="D514" s="55" t="s">
        <v>55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149999999999999" customHeight="1" x14ac:dyDescent="0.2">
      <c r="A515" s="72">
        <v>137187</v>
      </c>
      <c r="B515" s="73" t="s">
        <v>192</v>
      </c>
      <c r="C515" s="71" t="s">
        <v>193</v>
      </c>
      <c r="D515" s="73" t="s">
        <v>55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149999999999999" customHeight="1" x14ac:dyDescent="0.2">
      <c r="A516" s="72">
        <v>817777</v>
      </c>
      <c r="B516" s="73" t="s">
        <v>1025</v>
      </c>
      <c r="C516" s="71" t="s">
        <v>1026</v>
      </c>
      <c r="D516" s="73" t="s">
        <v>55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149999999999999" customHeight="1" x14ac:dyDescent="0.2">
      <c r="A517" s="72">
        <v>816770</v>
      </c>
      <c r="B517" s="73" t="s">
        <v>1087</v>
      </c>
      <c r="C517" s="71" t="s">
        <v>1088</v>
      </c>
      <c r="D517" s="73" t="s">
        <v>55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149999999999999" customHeight="1" x14ac:dyDescent="0.2">
      <c r="A518" s="72">
        <v>806577</v>
      </c>
      <c r="B518" s="73" t="s">
        <v>608</v>
      </c>
      <c r="C518" s="71" t="s">
        <v>609</v>
      </c>
      <c r="D518" s="73" t="s">
        <v>55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149999999999999" customHeight="1" x14ac:dyDescent="0.2">
      <c r="A519" s="55">
        <v>815197</v>
      </c>
      <c r="B519" s="55" t="s">
        <v>791</v>
      </c>
      <c r="C519" s="58" t="s">
        <v>792</v>
      </c>
      <c r="D519" s="55" t="s">
        <v>55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149999999999999" customHeight="1" x14ac:dyDescent="0.2">
      <c r="A520" s="72">
        <v>785488</v>
      </c>
      <c r="B520" s="73" t="s">
        <v>538</v>
      </c>
      <c r="C520" s="71" t="s">
        <v>539</v>
      </c>
      <c r="D520" s="73" t="s">
        <v>55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149999999999999" customHeight="1" x14ac:dyDescent="0.2">
      <c r="A521" s="72">
        <v>784885</v>
      </c>
      <c r="B521" s="73" t="s">
        <v>410</v>
      </c>
      <c r="C521" s="71" t="s">
        <v>411</v>
      </c>
      <c r="D521" s="73" t="s">
        <v>55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149999999999999" customHeight="1" x14ac:dyDescent="0.2">
      <c r="A522" s="72">
        <v>816768</v>
      </c>
      <c r="B522" s="73" t="s">
        <v>1085</v>
      </c>
      <c r="C522" s="71" t="s">
        <v>1086</v>
      </c>
      <c r="D522" s="73" t="s">
        <v>55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149999999999999" customHeight="1" x14ac:dyDescent="0.2">
      <c r="A523" s="72">
        <v>820322</v>
      </c>
      <c r="B523" s="73" t="s">
        <v>1111</v>
      </c>
      <c r="C523" s="71" t="s">
        <v>1112</v>
      </c>
      <c r="D523" s="73" t="s">
        <v>55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149999999999999" customHeight="1" x14ac:dyDescent="0.2">
      <c r="A524" s="72">
        <v>816772</v>
      </c>
      <c r="B524" s="73" t="s">
        <v>1089</v>
      </c>
      <c r="C524" s="71" t="s">
        <v>1090</v>
      </c>
      <c r="D524" s="73" t="s">
        <v>55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149999999999999" customHeight="1" x14ac:dyDescent="0.2">
      <c r="A525" s="72">
        <v>785489</v>
      </c>
      <c r="B525" s="73" t="s">
        <v>540</v>
      </c>
      <c r="C525" s="71" t="s">
        <v>541</v>
      </c>
      <c r="D525" s="73" t="s">
        <v>55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149999999999999" customHeight="1" x14ac:dyDescent="0.2">
      <c r="A526" s="72">
        <v>820543</v>
      </c>
      <c r="B526" s="73" t="s">
        <v>1175</v>
      </c>
      <c r="C526" s="71" t="s">
        <v>1176</v>
      </c>
      <c r="D526" s="73" t="s">
        <v>55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149999999999999" customHeight="1" x14ac:dyDescent="0.2">
      <c r="A527" s="72">
        <v>820311</v>
      </c>
      <c r="B527" s="73" t="s">
        <v>1107</v>
      </c>
      <c r="C527" s="71" t="s">
        <v>1108</v>
      </c>
      <c r="D527" s="73" t="s">
        <v>55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149999999999999" customHeight="1" x14ac:dyDescent="0.2">
      <c r="A528" s="55">
        <v>815198</v>
      </c>
      <c r="B528" s="55" t="s">
        <v>793</v>
      </c>
      <c r="C528" s="58" t="s">
        <v>794</v>
      </c>
      <c r="D528" s="55" t="s">
        <v>55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149999999999999" customHeight="1" x14ac:dyDescent="0.2">
      <c r="A529" s="72">
        <v>820539</v>
      </c>
      <c r="B529" s="73" t="s">
        <v>1171</v>
      </c>
      <c r="C529" s="71" t="s">
        <v>1172</v>
      </c>
      <c r="D529" s="73" t="s">
        <v>55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149999999999999" customHeight="1" x14ac:dyDescent="0.2">
      <c r="A530" s="72">
        <v>820541</v>
      </c>
      <c r="B530" s="73" t="s">
        <v>1173</v>
      </c>
      <c r="C530" s="71" t="s">
        <v>1174</v>
      </c>
      <c r="D530" s="73" t="s">
        <v>55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149999999999999" customHeight="1" x14ac:dyDescent="0.2">
      <c r="A531" s="55">
        <v>815199</v>
      </c>
      <c r="B531" s="55" t="s">
        <v>795</v>
      </c>
      <c r="C531" s="58" t="s">
        <v>796</v>
      </c>
      <c r="D531" s="55" t="s">
        <v>55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149999999999999" customHeight="1" x14ac:dyDescent="0.2">
      <c r="A532" s="72">
        <v>113655</v>
      </c>
      <c r="B532" s="73" t="s">
        <v>70</v>
      </c>
      <c r="C532" s="71" t="s">
        <v>71</v>
      </c>
      <c r="D532" s="73" t="s">
        <v>55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149999999999999" customHeight="1" x14ac:dyDescent="0.2">
      <c r="A533" s="72">
        <v>785117</v>
      </c>
      <c r="B533" s="73" t="s">
        <v>496</v>
      </c>
      <c r="C533" s="71" t="s">
        <v>497</v>
      </c>
      <c r="D533" s="73" t="s">
        <v>55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149999999999999" customHeight="1" x14ac:dyDescent="0.2">
      <c r="A534" s="72">
        <v>785490</v>
      </c>
      <c r="B534" s="73" t="s">
        <v>542</v>
      </c>
      <c r="C534" s="71" t="s">
        <v>543</v>
      </c>
      <c r="D534" s="73" t="s">
        <v>55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149999999999999" customHeight="1" x14ac:dyDescent="0.2">
      <c r="A535" s="55">
        <v>815200</v>
      </c>
      <c r="B535" s="55" t="s">
        <v>797</v>
      </c>
      <c r="C535" s="58" t="s">
        <v>798</v>
      </c>
      <c r="D535" s="55" t="s">
        <v>55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149999999999999" customHeight="1" x14ac:dyDescent="0.2">
      <c r="A536" s="72">
        <v>127823</v>
      </c>
      <c r="B536" s="73" t="s">
        <v>162</v>
      </c>
      <c r="C536" s="71" t="s">
        <v>163</v>
      </c>
      <c r="D536" s="73" t="s">
        <v>55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149999999999999" customHeight="1" x14ac:dyDescent="0.2">
      <c r="A537" s="72">
        <v>143118</v>
      </c>
      <c r="B537" s="73" t="s">
        <v>306</v>
      </c>
      <c r="C537" s="71" t="s">
        <v>307</v>
      </c>
      <c r="D537" s="73" t="s">
        <v>55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149999999999999" customHeight="1" x14ac:dyDescent="0.2">
      <c r="A538" s="72">
        <v>784886</v>
      </c>
      <c r="B538" s="73" t="s">
        <v>412</v>
      </c>
      <c r="C538" s="71" t="s">
        <v>413</v>
      </c>
      <c r="D538" s="73" t="s">
        <v>55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149999999999999" customHeight="1" x14ac:dyDescent="0.2">
      <c r="A539" s="72">
        <v>820549</v>
      </c>
      <c r="B539" s="73" t="s">
        <v>1179</v>
      </c>
      <c r="C539" s="71" t="s">
        <v>1180</v>
      </c>
      <c r="D539" s="73" t="s">
        <v>55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149999999999999" customHeight="1" x14ac:dyDescent="0.2">
      <c r="A540" s="72">
        <v>816774</v>
      </c>
      <c r="B540" s="73" t="s">
        <v>1091</v>
      </c>
      <c r="C540" s="71" t="s">
        <v>1092</v>
      </c>
      <c r="D540" s="73" t="s">
        <v>55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149999999999999" customHeight="1" x14ac:dyDescent="0.2">
      <c r="A541" s="72">
        <v>816778</v>
      </c>
      <c r="B541" s="73" t="s">
        <v>1093</v>
      </c>
      <c r="C541" s="71" t="s">
        <v>1094</v>
      </c>
      <c r="D541" s="73" t="s">
        <v>55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149999999999999" customHeight="1" x14ac:dyDescent="0.2">
      <c r="A542" s="72">
        <v>780667</v>
      </c>
      <c r="B542" s="73" t="s">
        <v>348</v>
      </c>
      <c r="C542" s="71" t="s">
        <v>349</v>
      </c>
      <c r="D542" s="73" t="s">
        <v>55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149999999999999" customHeight="1" x14ac:dyDescent="0.2">
      <c r="A543" s="72">
        <v>127825</v>
      </c>
      <c r="B543" s="73" t="s">
        <v>164</v>
      </c>
      <c r="C543" s="71" t="s">
        <v>165</v>
      </c>
      <c r="D543" s="73" t="s">
        <v>55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149999999999999" customHeight="1" x14ac:dyDescent="0.2">
      <c r="A544" s="72">
        <v>127828</v>
      </c>
      <c r="B544" s="73" t="s">
        <v>166</v>
      </c>
      <c r="C544" s="71" t="s">
        <v>167</v>
      </c>
      <c r="D544" s="73" t="s">
        <v>55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149999999999999" customHeight="1" x14ac:dyDescent="0.2">
      <c r="A545" s="72">
        <v>820547</v>
      </c>
      <c r="B545" s="73" t="s">
        <v>1177</v>
      </c>
      <c r="C545" s="71" t="s">
        <v>1178</v>
      </c>
      <c r="D545" s="73" t="s">
        <v>55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149999999999999" customHeight="1" x14ac:dyDescent="0.2">
      <c r="A546" s="55">
        <v>815201</v>
      </c>
      <c r="B546" s="55" t="s">
        <v>799</v>
      </c>
      <c r="C546" s="58" t="s">
        <v>800</v>
      </c>
      <c r="D546" s="55" t="s">
        <v>55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149999999999999" customHeight="1" x14ac:dyDescent="0.2">
      <c r="A547" s="55">
        <v>815202</v>
      </c>
      <c r="B547" s="55" t="s">
        <v>801</v>
      </c>
      <c r="C547" s="58" t="s">
        <v>802</v>
      </c>
      <c r="D547" s="55" t="s">
        <v>55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149999999999999" customHeight="1" x14ac:dyDescent="0.2">
      <c r="A548" s="55">
        <v>815203</v>
      </c>
      <c r="B548" s="55" t="s">
        <v>803</v>
      </c>
      <c r="C548" s="58" t="s">
        <v>804</v>
      </c>
      <c r="D548" s="55" t="s">
        <v>55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149999999999999" customHeight="1" x14ac:dyDescent="0.2">
      <c r="A549" s="72">
        <v>785492</v>
      </c>
      <c r="B549" s="73" t="s">
        <v>544</v>
      </c>
      <c r="C549" s="71" t="s">
        <v>545</v>
      </c>
      <c r="D549" s="73" t="s">
        <v>55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149999999999999" customHeight="1" x14ac:dyDescent="0.2">
      <c r="A550" s="72">
        <v>820558</v>
      </c>
      <c r="B550" s="73" t="s">
        <v>1181</v>
      </c>
      <c r="C550" s="71" t="s">
        <v>1182</v>
      </c>
      <c r="D550" s="73" t="s">
        <v>55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149999999999999" customHeight="1" x14ac:dyDescent="0.2">
      <c r="A551" s="55">
        <v>815204</v>
      </c>
      <c r="B551" s="55" t="s">
        <v>805</v>
      </c>
      <c r="C551" s="58" t="s">
        <v>806</v>
      </c>
      <c r="D551" s="55" t="s">
        <v>55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149999999999999" customHeight="1" x14ac:dyDescent="0.2">
      <c r="A552" s="72">
        <v>149143</v>
      </c>
      <c r="B552" s="73" t="s">
        <v>338</v>
      </c>
      <c r="C552" s="71" t="s">
        <v>339</v>
      </c>
      <c r="D552" s="73" t="s">
        <v>55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149999999999999" customHeight="1" x14ac:dyDescent="0.2">
      <c r="A553" s="72">
        <v>807315</v>
      </c>
      <c r="B553" s="73" t="s">
        <v>610</v>
      </c>
      <c r="C553" s="71" t="s">
        <v>611</v>
      </c>
      <c r="D553" s="73" t="s">
        <v>55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149999999999999" customHeight="1" x14ac:dyDescent="0.2">
      <c r="A554" s="72">
        <v>792265</v>
      </c>
      <c r="B554" s="73" t="s">
        <v>586</v>
      </c>
      <c r="C554" s="71" t="s">
        <v>587</v>
      </c>
      <c r="D554" s="73" t="s">
        <v>55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149999999999999" customHeight="1" x14ac:dyDescent="0.2">
      <c r="A555" s="72">
        <v>784887</v>
      </c>
      <c r="B555" s="73" t="s">
        <v>414</v>
      </c>
      <c r="C555" s="71" t="s">
        <v>415</v>
      </c>
      <c r="D555" s="73" t="s">
        <v>55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149999999999999" customHeight="1" x14ac:dyDescent="0.2">
      <c r="A556" s="55">
        <v>816868</v>
      </c>
      <c r="B556" s="55" t="s">
        <v>859</v>
      </c>
      <c r="C556" s="58" t="s">
        <v>860</v>
      </c>
      <c r="D556" s="55" t="s">
        <v>55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149999999999999" customHeight="1" x14ac:dyDescent="0.2">
      <c r="A557" s="72">
        <v>101392</v>
      </c>
      <c r="B557" s="73" t="s">
        <v>53</v>
      </c>
      <c r="C557" s="71" t="s">
        <v>54</v>
      </c>
      <c r="D557" s="73" t="s">
        <v>55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149999999999999" customHeight="1" x14ac:dyDescent="0.2">
      <c r="A558" s="72">
        <v>788210</v>
      </c>
      <c r="B558" s="73" t="s">
        <v>562</v>
      </c>
      <c r="C558" s="71" t="s">
        <v>563</v>
      </c>
      <c r="D558" s="73" t="s">
        <v>55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149999999999999" customHeight="1" x14ac:dyDescent="0.2">
      <c r="A559" s="72">
        <v>817362</v>
      </c>
      <c r="B559" s="73" t="s">
        <v>1005</v>
      </c>
      <c r="C559" s="71" t="s">
        <v>1006</v>
      </c>
      <c r="D559" s="73" t="s">
        <v>55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149999999999999" customHeight="1" x14ac:dyDescent="0.2">
      <c r="A560" s="55">
        <v>815205</v>
      </c>
      <c r="B560" s="55" t="s">
        <v>807</v>
      </c>
      <c r="C560" s="58" t="s">
        <v>808</v>
      </c>
      <c r="D560" s="55" t="s">
        <v>55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149999999999999" customHeight="1" x14ac:dyDescent="0.2">
      <c r="A561" s="72">
        <v>127830</v>
      </c>
      <c r="B561" s="73" t="s">
        <v>168</v>
      </c>
      <c r="C561" s="71" t="s">
        <v>169</v>
      </c>
      <c r="D561" s="73" t="s">
        <v>55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149999999999999" customHeight="1" x14ac:dyDescent="0.2">
      <c r="A562" s="55">
        <v>817766</v>
      </c>
      <c r="B562" s="55" t="s">
        <v>905</v>
      </c>
      <c r="C562" s="58" t="s">
        <v>906</v>
      </c>
      <c r="D562" s="55" t="s">
        <v>55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149999999999999" customHeight="1" x14ac:dyDescent="0.2">
      <c r="A563" s="55">
        <v>827189</v>
      </c>
      <c r="B563" s="55" t="s">
        <v>961</v>
      </c>
      <c r="C563" s="58" t="s">
        <v>962</v>
      </c>
      <c r="D563" s="55" t="s">
        <v>55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149999999999999" customHeight="1" x14ac:dyDescent="0.2">
      <c r="A564" s="72">
        <v>788211</v>
      </c>
      <c r="B564" s="73" t="s">
        <v>564</v>
      </c>
      <c r="C564" s="71" t="s">
        <v>565</v>
      </c>
      <c r="D564" s="73" t="s">
        <v>55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149999999999999" customHeight="1" x14ac:dyDescent="0.2">
      <c r="A565" s="72">
        <v>785118</v>
      </c>
      <c r="B565" s="73" t="s">
        <v>498</v>
      </c>
      <c r="C565" s="71" t="s">
        <v>499</v>
      </c>
      <c r="D565" s="73" t="s">
        <v>55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149999999999999" customHeight="1" x14ac:dyDescent="0.2">
      <c r="A566" s="72">
        <v>784888</v>
      </c>
      <c r="B566" s="73" t="s">
        <v>416</v>
      </c>
      <c r="C566" s="71" t="s">
        <v>417</v>
      </c>
      <c r="D566" s="73" t="s">
        <v>55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149999999999999" customHeight="1" x14ac:dyDescent="0.2">
      <c r="A567" s="55">
        <v>826374</v>
      </c>
      <c r="B567" s="55" t="s">
        <v>949</v>
      </c>
      <c r="C567" s="58" t="s">
        <v>950</v>
      </c>
      <c r="D567" s="55" t="s">
        <v>55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149999999999999" customHeight="1" x14ac:dyDescent="0.2">
      <c r="A568" s="72">
        <v>816781</v>
      </c>
      <c r="B568" s="73" t="s">
        <v>1095</v>
      </c>
      <c r="C568" s="71" t="s">
        <v>1096</v>
      </c>
      <c r="D568" s="73" t="s">
        <v>55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149999999999999" customHeight="1" x14ac:dyDescent="0.2">
      <c r="A569" s="55">
        <v>816840</v>
      </c>
      <c r="B569" s="55" t="s">
        <v>847</v>
      </c>
      <c r="C569" s="58" t="s">
        <v>848</v>
      </c>
      <c r="D569" s="55" t="s">
        <v>55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149999999999999" customHeight="1" x14ac:dyDescent="0.2">
      <c r="A570" s="72">
        <v>816783</v>
      </c>
      <c r="B570" s="73" t="s">
        <v>1097</v>
      </c>
      <c r="C570" s="71" t="s">
        <v>1098</v>
      </c>
      <c r="D570" s="73" t="s">
        <v>55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149999999999999" customHeight="1" x14ac:dyDescent="0.2">
      <c r="A571" s="72">
        <v>784889</v>
      </c>
      <c r="B571" s="73" t="s">
        <v>418</v>
      </c>
      <c r="C571" s="71" t="s">
        <v>419</v>
      </c>
      <c r="D571" s="73" t="s">
        <v>55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149999999999999" customHeight="1" x14ac:dyDescent="0.2">
      <c r="A572" s="55">
        <v>823248</v>
      </c>
      <c r="B572" s="55" t="s">
        <v>943</v>
      </c>
      <c r="C572" s="58" t="s">
        <v>944</v>
      </c>
      <c r="D572" s="55" t="s">
        <v>55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149999999999999" customHeight="1" x14ac:dyDescent="0.2">
      <c r="A573" s="72">
        <v>143122</v>
      </c>
      <c r="B573" s="73" t="s">
        <v>310</v>
      </c>
      <c r="C573" s="71" t="s">
        <v>311</v>
      </c>
      <c r="D573" s="73" t="s">
        <v>55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149999999999999" customHeight="1" x14ac:dyDescent="0.2">
      <c r="A574" s="72">
        <v>143121</v>
      </c>
      <c r="B574" s="73" t="s">
        <v>308</v>
      </c>
      <c r="C574" s="71" t="s">
        <v>309</v>
      </c>
      <c r="D574" s="73" t="s">
        <v>55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149999999999999" customHeight="1" x14ac:dyDescent="0.2">
      <c r="A575" s="72"/>
      <c r="B575" s="73" t="s">
        <v>1206</v>
      </c>
      <c r="C575" s="71" t="s">
        <v>1207</v>
      </c>
      <c r="D575" s="73" t="s">
        <v>55</v>
      </c>
      <c r="E575" s="50" t="str">
        <f t="shared" si="16"/>
        <v>Аликин Николай Анатольевич;6-19Р001/2019;;№6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Анатольевич;6-19Р001/2019;;№6</v>
      </c>
    </row>
    <row r="576" spans="1:8" ht="16.149999999999999" customHeight="1" x14ac:dyDescent="0.2">
      <c r="A576" s="72"/>
      <c r="B576" s="73" t="s">
        <v>1208</v>
      </c>
      <c r="C576" s="71" t="s">
        <v>1209</v>
      </c>
      <c r="D576" s="73" t="s">
        <v>55</v>
      </c>
      <c r="E576" s="50" t="str">
        <f t="shared" si="16"/>
        <v>Алмаева Елена Алексеевна;6-19Р075/2019;;№6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Алексеевна;6-19Р075/2019;;№6</v>
      </c>
    </row>
    <row r="577" spans="1:8" ht="16.149999999999999" customHeight="1" x14ac:dyDescent="0.2">
      <c r="A577" s="72"/>
      <c r="B577" s="73" t="s">
        <v>1210</v>
      </c>
      <c r="C577" s="71" t="s">
        <v>1211</v>
      </c>
      <c r="D577" s="73" t="s">
        <v>55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Григорьевич;6-19Р008/2019;;№6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Григорьевич;6-19Р008/2019;;№6</v>
      </c>
    </row>
    <row r="578" spans="1:8" ht="16.149999999999999" customHeight="1" x14ac:dyDescent="0.2">
      <c r="A578" s="72"/>
      <c r="B578" s="73" t="s">
        <v>1212</v>
      </c>
      <c r="C578" s="71" t="s">
        <v>1213</v>
      </c>
      <c r="D578" s="73" t="s">
        <v>55</v>
      </c>
      <c r="E578" s="50" t="str">
        <f t="shared" si="18"/>
        <v>Аюпова Ольга Сергеевна;6-19Р139/2019;;№6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Сергеевна;6-19Р139/2019;;№6</v>
      </c>
    </row>
    <row r="579" spans="1:8" ht="16.149999999999999" customHeight="1" x14ac:dyDescent="0.2">
      <c r="A579" s="72"/>
      <c r="B579" s="73" t="s">
        <v>1214</v>
      </c>
      <c r="C579" s="71" t="s">
        <v>1215</v>
      </c>
      <c r="D579" s="73" t="s">
        <v>55</v>
      </c>
      <c r="E579" s="50" t="str">
        <f t="shared" si="18"/>
        <v>Балашов Павел Олегович;6-19Р045/2019;;№6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Олегович;6-19Р045/2019;;№6</v>
      </c>
    </row>
    <row r="580" spans="1:8" ht="16.149999999999999" customHeight="1" x14ac:dyDescent="0.2">
      <c r="A580" s="72"/>
      <c r="B580" s="73" t="s">
        <v>1216</v>
      </c>
      <c r="C580" s="71" t="s">
        <v>1217</v>
      </c>
      <c r="D580" s="73" t="s">
        <v>55</v>
      </c>
      <c r="E580" s="50" t="str">
        <f t="shared" si="18"/>
        <v>Баранчиков Владислав Вячеславович;6-19Р076/2019;;№6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Вячеславович;6-19Р076/2019;;№6</v>
      </c>
    </row>
    <row r="581" spans="1:8" ht="16.149999999999999" customHeight="1" x14ac:dyDescent="0.2">
      <c r="A581" s="72"/>
      <c r="B581" s="73" t="s">
        <v>1218</v>
      </c>
      <c r="C581" s="71" t="s">
        <v>1219</v>
      </c>
      <c r="D581" s="73" t="s">
        <v>55</v>
      </c>
      <c r="E581" s="50" t="str">
        <f t="shared" si="18"/>
        <v>Беззубиков Валерий ;6-19Р052/2019;;№6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;6-19Р052/2019;;№6</v>
      </c>
    </row>
    <row r="582" spans="1:8" ht="16.149999999999999" customHeight="1" x14ac:dyDescent="0.2">
      <c r="A582" s="72"/>
      <c r="B582" s="73" t="s">
        <v>1220</v>
      </c>
      <c r="C582" s="71" t="s">
        <v>1221</v>
      </c>
      <c r="D582" s="73" t="s">
        <v>55</v>
      </c>
      <c r="E582" s="50" t="str">
        <f t="shared" si="18"/>
        <v>Беляев Валерий Алексеевич;6-19Р015/2019;;№6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Алексеевич;6-19Р015/2019;;№6</v>
      </c>
    </row>
    <row r="583" spans="1:8" ht="16.149999999999999" customHeight="1" x14ac:dyDescent="0.2">
      <c r="A583" s="72"/>
      <c r="B583" s="73" t="s">
        <v>1222</v>
      </c>
      <c r="C583" s="71" t="s">
        <v>1223</v>
      </c>
      <c r="D583" s="73" t="s">
        <v>55</v>
      </c>
      <c r="E583" s="50" t="str">
        <f t="shared" si="18"/>
        <v>Бетуганов Юрий Антемырканович;6-19Р077/2019;;№6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Антемырканович;6-19Р077/2019;;№6</v>
      </c>
    </row>
    <row r="584" spans="1:8" ht="16.149999999999999" customHeight="1" x14ac:dyDescent="0.2">
      <c r="A584" s="72"/>
      <c r="B584" s="73" t="s">
        <v>1224</v>
      </c>
      <c r="C584" s="71" t="s">
        <v>1225</v>
      </c>
      <c r="D584" s="73" t="s">
        <v>55</v>
      </c>
      <c r="E584" s="50" t="str">
        <f t="shared" si="18"/>
        <v>Боженко Дмитрий Владимирович;6-19Р106/2019;;№6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Владимирович;6-19Р106/2019;;№6</v>
      </c>
    </row>
    <row r="585" spans="1:8" ht="16.149999999999999" customHeight="1" x14ac:dyDescent="0.2">
      <c r="A585" s="72"/>
      <c r="B585" s="73" t="s">
        <v>1226</v>
      </c>
      <c r="C585" s="71" t="s">
        <v>1227</v>
      </c>
      <c r="D585" s="73" t="s">
        <v>55</v>
      </c>
      <c r="E585" s="50" t="str">
        <f t="shared" si="18"/>
        <v>Бормотов Андрей Константинович;6-19Р078/2019;;№6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Константинович;6-19Р078/2019;;№6</v>
      </c>
    </row>
    <row r="586" spans="1:8" ht="16.149999999999999" customHeight="1" x14ac:dyDescent="0.2">
      <c r="A586" s="72"/>
      <c r="B586" s="73" t="s">
        <v>1228</v>
      </c>
      <c r="C586" s="71" t="s">
        <v>1229</v>
      </c>
      <c r="D586" s="73" t="s">
        <v>55</v>
      </c>
      <c r="E586" s="50" t="str">
        <f t="shared" si="18"/>
        <v>Бражникова Надежда Антоновна;6-19Р108/2019;;№6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Антоновна;6-19Р108/2019;;№6</v>
      </c>
    </row>
    <row r="587" spans="1:8" ht="16.149999999999999" customHeight="1" x14ac:dyDescent="0.2">
      <c r="A587" s="72"/>
      <c r="B587" s="73" t="s">
        <v>1230</v>
      </c>
      <c r="C587" s="71" t="s">
        <v>1231</v>
      </c>
      <c r="D587" s="73" t="s">
        <v>55</v>
      </c>
      <c r="E587" s="50" t="str">
        <f t="shared" si="18"/>
        <v>Бурцев Егор Сергеевич;6-19Р150/2019;;№6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Сергеевич;6-19Р150/2019;;№6</v>
      </c>
    </row>
    <row r="588" spans="1:8" ht="16.149999999999999" customHeight="1" x14ac:dyDescent="0.2">
      <c r="A588" s="72"/>
      <c r="B588" s="73" t="s">
        <v>1232</v>
      </c>
      <c r="C588" s="71" t="s">
        <v>1233</v>
      </c>
      <c r="D588" s="73" t="s">
        <v>55</v>
      </c>
      <c r="E588" s="50" t="str">
        <f t="shared" si="18"/>
        <v>Галлямова Диана Маратовна;6-19Р080/2019;;№6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Маратовна;6-19Р080/2019;;№6</v>
      </c>
    </row>
    <row r="589" spans="1:8" ht="16.149999999999999" customHeight="1" x14ac:dyDescent="0.2">
      <c r="A589" s="72"/>
      <c r="B589" s="73" t="s">
        <v>1234</v>
      </c>
      <c r="C589" s="71" t="s">
        <v>1235</v>
      </c>
      <c r="D589" s="73" t="s">
        <v>55</v>
      </c>
      <c r="E589" s="50" t="str">
        <f t="shared" si="18"/>
        <v>Гафаров Булат Рустемович;6-19Р081/2019;;№6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Рустемович;6-19Р081/2019;;№6</v>
      </c>
    </row>
    <row r="590" spans="1:8" ht="16.149999999999999" customHeight="1" x14ac:dyDescent="0.2">
      <c r="A590" s="72"/>
      <c r="B590" s="73" t="s">
        <v>1236</v>
      </c>
      <c r="C590" s="71" t="s">
        <v>1237</v>
      </c>
      <c r="D590" s="73" t="s">
        <v>55</v>
      </c>
      <c r="E590" s="50" t="str">
        <f t="shared" si="18"/>
        <v>Гнилицкий Денис Васильевич;6-19Р082/2019;;№6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Васильевич;6-19Р082/2019;;№6</v>
      </c>
    </row>
    <row r="591" spans="1:8" ht="16.149999999999999" customHeight="1" x14ac:dyDescent="0.2">
      <c r="A591" s="72"/>
      <c r="B591" s="73" t="s">
        <v>1238</v>
      </c>
      <c r="C591" s="71" t="s">
        <v>1239</v>
      </c>
      <c r="D591" s="73" t="s">
        <v>55</v>
      </c>
      <c r="E591" s="50" t="str">
        <f t="shared" si="18"/>
        <v>Головнов Антон Максимович;6-19Р026/2019;;№6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Максимович;6-19Р026/2019;;№6</v>
      </c>
    </row>
    <row r="592" spans="1:8" ht="16.149999999999999" customHeight="1" x14ac:dyDescent="0.2">
      <c r="A592" s="72"/>
      <c r="B592" s="73" t="s">
        <v>1240</v>
      </c>
      <c r="C592" s="71" t="s">
        <v>1241</v>
      </c>
      <c r="D592" s="73" t="s">
        <v>55</v>
      </c>
      <c r="E592" s="50" t="str">
        <f t="shared" si="18"/>
        <v>Горшихин Николай Сергеевич;6-19Р040/2019;;№6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Сергеевич;6-19Р040/2019;;№6</v>
      </c>
    </row>
    <row r="593" spans="1:8" ht="16.149999999999999" customHeight="1" x14ac:dyDescent="0.2">
      <c r="A593" s="72"/>
      <c r="B593" s="73" t="s">
        <v>1242</v>
      </c>
      <c r="C593" s="71" t="s">
        <v>1243</v>
      </c>
      <c r="D593" s="73" t="s">
        <v>55</v>
      </c>
      <c r="E593" s="50" t="str">
        <f t="shared" si="18"/>
        <v>Готовцев Артём Евгеньевич;6-19Р109/2019;;№6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Евгеньевич;6-19Р109/2019;;№6</v>
      </c>
    </row>
    <row r="594" spans="1:8" ht="16.149999999999999" customHeight="1" x14ac:dyDescent="0.2">
      <c r="A594" s="72"/>
      <c r="B594" s="73" t="s">
        <v>1244</v>
      </c>
      <c r="C594" s="71" t="s">
        <v>1245</v>
      </c>
      <c r="D594" s="73" t="s">
        <v>55</v>
      </c>
      <c r="E594" s="50" t="str">
        <f t="shared" si="18"/>
        <v>Долгачев Даниил Владимирович;6-19Р083/2019;;№6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Владимирович;6-19Р083/2019;;№6</v>
      </c>
    </row>
    <row r="595" spans="1:8" ht="16.149999999999999" customHeight="1" x14ac:dyDescent="0.2">
      <c r="A595" s="72"/>
      <c r="B595" s="73" t="s">
        <v>1246</v>
      </c>
      <c r="C595" s="71" t="s">
        <v>1247</v>
      </c>
      <c r="D595" s="73" t="s">
        <v>55</v>
      </c>
      <c r="E595" s="50" t="str">
        <f t="shared" si="18"/>
        <v>Домнина Ольга Александровна;6-19Р043/2019;;№6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Александровна;6-19Р043/2019;;№6</v>
      </c>
    </row>
    <row r="596" spans="1:8" ht="16.149999999999999" customHeight="1" x14ac:dyDescent="0.2">
      <c r="A596" s="72"/>
      <c r="B596" s="73" t="s">
        <v>1248</v>
      </c>
      <c r="C596" s="71" t="s">
        <v>1249</v>
      </c>
      <c r="D596" s="73" t="s">
        <v>55</v>
      </c>
      <c r="E596" s="50" t="str">
        <f t="shared" si="18"/>
        <v>Дорофеев Александр Николаевич;6-19Р084/2019;;№6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Николаевич;6-19Р084/2019;;№6</v>
      </c>
    </row>
    <row r="597" spans="1:8" ht="16.149999999999999" customHeight="1" x14ac:dyDescent="0.2">
      <c r="A597" s="72"/>
      <c r="B597" s="73" t="s">
        <v>1250</v>
      </c>
      <c r="C597" s="71" t="s">
        <v>1251</v>
      </c>
      <c r="D597" s="73" t="s">
        <v>55</v>
      </c>
      <c r="E597" s="50" t="str">
        <f t="shared" si="18"/>
        <v>Егоров Алексей Сергеевич;6-19Р156/2019;;№6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Сергеевич;6-19Р156/2019;;№6</v>
      </c>
    </row>
    <row r="598" spans="1:8" ht="16.149999999999999" customHeight="1" x14ac:dyDescent="0.2">
      <c r="A598" s="72"/>
      <c r="B598" s="73" t="s">
        <v>1252</v>
      </c>
      <c r="C598" s="71" t="s">
        <v>1253</v>
      </c>
      <c r="D598" s="73" t="s">
        <v>55</v>
      </c>
      <c r="E598" s="50" t="str">
        <f t="shared" si="18"/>
        <v>Емельянов Денис Павлович;6-19Р140/2019;;№6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Павлович;6-19Р140/2019;;№6</v>
      </c>
    </row>
    <row r="599" spans="1:8" ht="16.149999999999999" customHeight="1" x14ac:dyDescent="0.2">
      <c r="A599" s="72"/>
      <c r="B599" s="73" t="s">
        <v>1254</v>
      </c>
      <c r="C599" s="71" t="s">
        <v>1255</v>
      </c>
      <c r="D599" s="73" t="s">
        <v>55</v>
      </c>
      <c r="E599" s="50" t="str">
        <f t="shared" si="18"/>
        <v>Емкужев Анзор Мухадинович;6-19Р085/2019;;№6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Мухадинович;6-19Р085/2019;;№6</v>
      </c>
    </row>
    <row r="600" spans="1:8" ht="16.149999999999999" customHeight="1" x14ac:dyDescent="0.2">
      <c r="A600" s="72"/>
      <c r="B600" s="73" t="s">
        <v>1256</v>
      </c>
      <c r="C600" s="71" t="s">
        <v>1257</v>
      </c>
      <c r="D600" s="73" t="s">
        <v>55</v>
      </c>
      <c r="E600" s="50" t="str">
        <f t="shared" si="18"/>
        <v>Жаренков Никита Андреевич;6-19Р086/2019;;№6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Андреевич;6-19Р086/2019;;№6</v>
      </c>
    </row>
    <row r="601" spans="1:8" ht="16.149999999999999" customHeight="1" x14ac:dyDescent="0.2">
      <c r="A601" s="72"/>
      <c r="B601" s="73" t="s">
        <v>1258</v>
      </c>
      <c r="C601" s="71" t="s">
        <v>1259</v>
      </c>
      <c r="D601" s="73" t="s">
        <v>55</v>
      </c>
      <c r="E601" s="50" t="str">
        <f t="shared" si="18"/>
        <v>Журавлев Николай Вадимович;6-19Р011/2019;;№6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Вадимович;6-19Р011/2019;;№6</v>
      </c>
    </row>
    <row r="602" spans="1:8" ht="16.149999999999999" customHeight="1" x14ac:dyDescent="0.2">
      <c r="A602" s="72"/>
      <c r="B602" s="73" t="s">
        <v>1260</v>
      </c>
      <c r="C602" s="71" t="s">
        <v>1261</v>
      </c>
      <c r="D602" s="73" t="s">
        <v>55</v>
      </c>
      <c r="E602" s="50" t="str">
        <f t="shared" si="18"/>
        <v>Зайковская Анастасия Владимировна;6-19Р112/2019;;№6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Владимировна;6-19Р112/2019;;№6</v>
      </c>
    </row>
    <row r="603" spans="1:8" ht="16.149999999999999" customHeight="1" x14ac:dyDescent="0.2">
      <c r="A603" s="72"/>
      <c r="B603" s="73" t="s">
        <v>1262</v>
      </c>
      <c r="C603" s="71" t="s">
        <v>1263</v>
      </c>
      <c r="D603" s="73" t="s">
        <v>55</v>
      </c>
      <c r="E603" s="50" t="str">
        <f t="shared" si="18"/>
        <v>Закунов Андрей Андреевич;6-19Р046/2019;;№6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Андреевич;6-19Р046/2019;;№6</v>
      </c>
    </row>
    <row r="604" spans="1:8" ht="16.149999999999999" customHeight="1" x14ac:dyDescent="0.2">
      <c r="A604" s="72"/>
      <c r="B604" s="73" t="s">
        <v>1264</v>
      </c>
      <c r="C604" s="71" t="s">
        <v>1265</v>
      </c>
      <c r="D604" s="73" t="s">
        <v>55</v>
      </c>
      <c r="E604" s="50" t="str">
        <f t="shared" si="18"/>
        <v>Запсельский Виктор Николаевич;6-19Р047/2019;;№6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Николаевич;6-19Р047/2019;;№6</v>
      </c>
    </row>
    <row r="605" spans="1:8" ht="16.149999999999999" customHeight="1" x14ac:dyDescent="0.2">
      <c r="A605" s="72"/>
      <c r="B605" s="73" t="s">
        <v>1266</v>
      </c>
      <c r="C605" s="71" t="s">
        <v>1267</v>
      </c>
      <c r="D605" s="73" t="s">
        <v>55</v>
      </c>
      <c r="E605" s="50" t="str">
        <f t="shared" si="18"/>
        <v>Захарченко Семен Вадимович;6-19Р113/2019;;№6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Вадимович;6-19Р113/2019;;№6</v>
      </c>
    </row>
    <row r="606" spans="1:8" ht="16.149999999999999" customHeight="1" x14ac:dyDescent="0.2">
      <c r="A606" s="72"/>
      <c r="B606" s="73" t="s">
        <v>1268</v>
      </c>
      <c r="C606" s="71" t="s">
        <v>1269</v>
      </c>
      <c r="D606" s="73" t="s">
        <v>55</v>
      </c>
      <c r="E606" s="50" t="str">
        <f t="shared" si="18"/>
        <v>Золин Александр Олегович;6-19Р088/2019;;№6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Олегович;6-19Р088/2019;;№6</v>
      </c>
    </row>
    <row r="607" spans="1:8" ht="16.149999999999999" customHeight="1" x14ac:dyDescent="0.2">
      <c r="A607" s="72"/>
      <c r="B607" s="73" t="s">
        <v>1270</v>
      </c>
      <c r="C607" s="71" t="s">
        <v>1271</v>
      </c>
      <c r="D607" s="73" t="s">
        <v>55</v>
      </c>
      <c r="E607" s="50" t="str">
        <f t="shared" si="18"/>
        <v>Зотов Даниил Александрович;6-19Р114/2019;;№6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Александрович;6-19Р114/2019;;№6</v>
      </c>
    </row>
    <row r="608" spans="1:8" ht="16.149999999999999" customHeight="1" x14ac:dyDescent="0.2">
      <c r="A608" s="72"/>
      <c r="B608" s="73" t="s">
        <v>1272</v>
      </c>
      <c r="C608" s="71" t="s">
        <v>1273</v>
      </c>
      <c r="D608" s="73" t="s">
        <v>55</v>
      </c>
      <c r="E608" s="50" t="str">
        <f t="shared" si="18"/>
        <v>Казанцев Алексей Игоревич;6-19Р048/2019;;№6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Игоревич;6-19Р048/2019;;№6</v>
      </c>
    </row>
    <row r="609" spans="1:8" ht="16.149999999999999" customHeight="1" x14ac:dyDescent="0.2">
      <c r="A609" s="72"/>
      <c r="B609" s="73" t="s">
        <v>1274</v>
      </c>
      <c r="C609" s="71" t="s">
        <v>1275</v>
      </c>
      <c r="D609" s="73" t="s">
        <v>55</v>
      </c>
      <c r="E609" s="50" t="str">
        <f t="shared" si="18"/>
        <v>Калинин Александр Васильевич;6-19Р090/2019;;№6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Васильевич;6-19Р090/2019;;№6</v>
      </c>
    </row>
    <row r="610" spans="1:8" ht="16.149999999999999" customHeight="1" x14ac:dyDescent="0.2">
      <c r="A610" s="72"/>
      <c r="B610" s="73" t="s">
        <v>1276</v>
      </c>
      <c r="C610" s="71" t="s">
        <v>1277</v>
      </c>
      <c r="D610" s="73" t="s">
        <v>55</v>
      </c>
      <c r="E610" s="50" t="str">
        <f t="shared" si="18"/>
        <v>Калистратова Александра Романовна;6-19Р002/2019;;№6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Романовна;6-19Р002/2019;;№6</v>
      </c>
    </row>
    <row r="611" spans="1:8" ht="16.149999999999999" customHeight="1" x14ac:dyDescent="0.2">
      <c r="A611" s="72"/>
      <c r="B611" s="73" t="s">
        <v>1278</v>
      </c>
      <c r="C611" s="71" t="s">
        <v>1279</v>
      </c>
      <c r="D611" s="73" t="s">
        <v>55</v>
      </c>
      <c r="E611" s="50" t="str">
        <f t="shared" si="18"/>
        <v>Каримова София Фархадовна;6-19Р049/2019;;№6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Фархадовна;6-19Р049/2019;;№6</v>
      </c>
    </row>
    <row r="612" spans="1:8" ht="16.149999999999999" customHeight="1" x14ac:dyDescent="0.2">
      <c r="A612" s="72"/>
      <c r="B612" s="73" t="s">
        <v>1280</v>
      </c>
      <c r="C612" s="71" t="s">
        <v>1281</v>
      </c>
      <c r="D612" s="73" t="s">
        <v>55</v>
      </c>
      <c r="E612" s="50" t="str">
        <f t="shared" si="18"/>
        <v>Киселев Сергей Борисович;6-19Р050/2019;;№6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Борисович;6-19Р050/2019;;№6</v>
      </c>
    </row>
    <row r="613" spans="1:8" ht="16.149999999999999" customHeight="1" x14ac:dyDescent="0.2">
      <c r="A613" s="72"/>
      <c r="B613" s="73" t="s">
        <v>1282</v>
      </c>
      <c r="C613" s="71" t="s">
        <v>1283</v>
      </c>
      <c r="D613" s="73" t="s">
        <v>55</v>
      </c>
      <c r="E613" s="50" t="str">
        <f t="shared" si="18"/>
        <v>Клочкова Алина Евгеньевна;6-19Р141/2019;;№6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Евгеньевна;6-19Р141/2019;;№6</v>
      </c>
    </row>
    <row r="614" spans="1:8" ht="16.149999999999999" customHeight="1" x14ac:dyDescent="0.2">
      <c r="A614" s="72"/>
      <c r="B614" s="73" t="s">
        <v>1284</v>
      </c>
      <c r="C614" s="71" t="s">
        <v>1285</v>
      </c>
      <c r="D614" s="73" t="s">
        <v>55</v>
      </c>
      <c r="E614" s="50" t="str">
        <f t="shared" si="18"/>
        <v>Козицын Семен Денисович;6-19Р142/2019;;№6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Денисович;6-19Р142/2019;;№6</v>
      </c>
    </row>
    <row r="615" spans="1:8" ht="16.149999999999999" customHeight="1" x14ac:dyDescent="0.2">
      <c r="A615" s="72"/>
      <c r="B615" s="73" t="s">
        <v>1286</v>
      </c>
      <c r="C615" s="71" t="s">
        <v>1287</v>
      </c>
      <c r="D615" s="73" t="s">
        <v>55</v>
      </c>
      <c r="E615" s="50" t="str">
        <f t="shared" si="18"/>
        <v>Колесов Ярослав Дмитриевич;6-19Р028/2019;;№6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Дмитриевич;6-19Р028/2019;;№6</v>
      </c>
    </row>
    <row r="616" spans="1:8" ht="16.149999999999999" customHeight="1" x14ac:dyDescent="0.2">
      <c r="A616" s="72"/>
      <c r="B616" s="73" t="s">
        <v>1288</v>
      </c>
      <c r="C616" s="71" t="s">
        <v>1289</v>
      </c>
      <c r="D616" s="73" t="s">
        <v>55</v>
      </c>
      <c r="E616" s="50" t="str">
        <f t="shared" si="18"/>
        <v>Комиссарова Анастасия Николаевна;6-19Р004/2019;;№6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Николаевна;6-19Р004/2019;;№6</v>
      </c>
    </row>
    <row r="617" spans="1:8" ht="16.149999999999999" customHeight="1" x14ac:dyDescent="0.2">
      <c r="A617" s="72"/>
      <c r="B617" s="73" t="s">
        <v>1290</v>
      </c>
      <c r="C617" s="71" t="s">
        <v>1291</v>
      </c>
      <c r="D617" s="73" t="s">
        <v>55</v>
      </c>
      <c r="E617" s="50" t="str">
        <f t="shared" si="18"/>
        <v>Конов Антон Викторович;6-19Р159/2019;;№6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Викторович;6-19Р159/2019;;№6</v>
      </c>
    </row>
    <row r="618" spans="1:8" ht="16.149999999999999" customHeight="1" x14ac:dyDescent="0.2">
      <c r="A618" s="72"/>
      <c r="B618" s="73" t="s">
        <v>1292</v>
      </c>
      <c r="C618" s="71" t="s">
        <v>1293</v>
      </c>
      <c r="D618" s="73" t="s">
        <v>55</v>
      </c>
      <c r="E618" s="50" t="str">
        <f t="shared" si="18"/>
        <v>Копачев Даниил Дмитриевич;6-19Р051/2019;;№6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Дмитриевич;6-19Р051/2019;;№6</v>
      </c>
    </row>
    <row r="619" spans="1:8" ht="16.149999999999999" customHeight="1" x14ac:dyDescent="0.2">
      <c r="A619" s="72"/>
      <c r="B619" s="73" t="s">
        <v>1294</v>
      </c>
      <c r="C619" s="71" t="s">
        <v>1295</v>
      </c>
      <c r="D619" s="73" t="s">
        <v>55</v>
      </c>
      <c r="E619" s="50" t="str">
        <f t="shared" si="18"/>
        <v>Красильников Максим Константинович;6-19Р143/2019;;№6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Константинович;6-19Р143/2019;;№6</v>
      </c>
    </row>
    <row r="620" spans="1:8" ht="16.149999999999999" customHeight="1" x14ac:dyDescent="0.2">
      <c r="A620" s="72"/>
      <c r="B620" s="73" t="s">
        <v>1296</v>
      </c>
      <c r="C620" s="71" t="s">
        <v>1297</v>
      </c>
      <c r="D620" s="73" t="s">
        <v>55</v>
      </c>
      <c r="E620" s="50" t="str">
        <f t="shared" si="18"/>
        <v>Крыштоп Александр Игоревич;6-19Р116/2019;;№6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Игоревич;6-19Р116/2019;;№6</v>
      </c>
    </row>
    <row r="621" spans="1:8" ht="16.149999999999999" customHeight="1" x14ac:dyDescent="0.2">
      <c r="A621" s="72"/>
      <c r="B621" s="73" t="s">
        <v>1298</v>
      </c>
      <c r="C621" s="71" t="s">
        <v>1299</v>
      </c>
      <c r="D621" s="73" t="s">
        <v>55</v>
      </c>
      <c r="E621" s="50" t="str">
        <f t="shared" si="18"/>
        <v>Кудрявцев Александр Юрьевич;6-19Р053/2019;;№6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Юрьевич;6-19Р053/2019;;№6</v>
      </c>
    </row>
    <row r="622" spans="1:8" ht="16.149999999999999" customHeight="1" x14ac:dyDescent="0.2">
      <c r="A622" s="72"/>
      <c r="B622" s="73" t="s">
        <v>1300</v>
      </c>
      <c r="C622" s="71" t="s">
        <v>1301</v>
      </c>
      <c r="D622" s="73" t="s">
        <v>55</v>
      </c>
      <c r="E622" s="50" t="str">
        <f t="shared" si="18"/>
        <v>Кузнецов Даниил Дмитриевич;6-19Р054/2019;;№6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Дмитриевич;6-19Р054/2019;;№6</v>
      </c>
    </row>
    <row r="623" spans="1:8" ht="16.149999999999999" customHeight="1" x14ac:dyDescent="0.2">
      <c r="A623" s="72"/>
      <c r="B623" s="73" t="s">
        <v>1302</v>
      </c>
      <c r="C623" s="71" t="s">
        <v>1303</v>
      </c>
      <c r="D623" s="73" t="s">
        <v>55</v>
      </c>
      <c r="E623" s="50" t="str">
        <f t="shared" si="18"/>
        <v>Кутепов Никита Сергеевич;6-19Р162/2019;;№6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Сергеевич;6-19Р162/2019;;№6</v>
      </c>
    </row>
    <row r="624" spans="1:8" ht="16.149999999999999" customHeight="1" x14ac:dyDescent="0.2">
      <c r="A624" s="72"/>
      <c r="B624" s="73" t="s">
        <v>1304</v>
      </c>
      <c r="C624" s="71" t="s">
        <v>1305</v>
      </c>
      <c r="D624" s="73" t="s">
        <v>55</v>
      </c>
      <c r="E624" s="50" t="str">
        <f t="shared" si="18"/>
        <v>Кучин Илья Петрович;6-19Р029/2019;;№6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Петрович;6-19Р029/2019;;№6</v>
      </c>
    </row>
    <row r="625" spans="1:8" ht="16.149999999999999" customHeight="1" x14ac:dyDescent="0.2">
      <c r="A625" s="72"/>
      <c r="B625" s="73" t="s">
        <v>1306</v>
      </c>
      <c r="C625" s="71" t="s">
        <v>1307</v>
      </c>
      <c r="D625" s="73" t="s">
        <v>55</v>
      </c>
      <c r="E625" s="50" t="str">
        <f t="shared" si="18"/>
        <v>Кычакова Полина Александровна;6-19Р118/2019;;№6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Александровна;6-19Р118/2019;;№6</v>
      </c>
    </row>
    <row r="626" spans="1:8" ht="16.149999999999999" customHeight="1" x14ac:dyDescent="0.2">
      <c r="A626" s="72"/>
      <c r="B626" s="73" t="s">
        <v>1308</v>
      </c>
      <c r="C626" s="71" t="s">
        <v>1309</v>
      </c>
      <c r="D626" s="73" t="s">
        <v>55</v>
      </c>
      <c r="E626" s="50" t="str">
        <f t="shared" si="18"/>
        <v>Латыпов Родион Алексеевич;6-19Р055/2019;;№6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Алексеевич;6-19Р055/2019;;№6</v>
      </c>
    </row>
    <row r="627" spans="1:8" ht="16.149999999999999" customHeight="1" x14ac:dyDescent="0.2">
      <c r="A627" s="72"/>
      <c r="B627" s="73" t="s">
        <v>1310</v>
      </c>
      <c r="C627" s="71" t="s">
        <v>1311</v>
      </c>
      <c r="D627" s="73" t="s">
        <v>55</v>
      </c>
      <c r="E627" s="50" t="str">
        <f t="shared" si="18"/>
        <v>Лебедев Владислав Александрович;6-19Р030/2019;;№6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Александрович;6-19Р030/2019;;№6</v>
      </c>
    </row>
    <row r="628" spans="1:8" ht="16.149999999999999" customHeight="1" x14ac:dyDescent="0.2">
      <c r="A628" s="72"/>
      <c r="B628" s="73" t="s">
        <v>1312</v>
      </c>
      <c r="C628" s="71" t="s">
        <v>1313</v>
      </c>
      <c r="D628" s="73" t="s">
        <v>55</v>
      </c>
      <c r="E628" s="50" t="str">
        <f t="shared" si="18"/>
        <v>Левищев Иван Александрович;6-19Р056/2019;;№6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Александрович;6-19Р056/2019;;№6</v>
      </c>
    </row>
    <row r="629" spans="1:8" ht="16.149999999999999" customHeight="1" x14ac:dyDescent="0.2">
      <c r="A629" s="72"/>
      <c r="B629" s="73" t="s">
        <v>1314</v>
      </c>
      <c r="C629" s="71" t="s">
        <v>1315</v>
      </c>
      <c r="D629" s="73" t="s">
        <v>55</v>
      </c>
      <c r="E629" s="50" t="str">
        <f t="shared" si="18"/>
        <v>Леонов Александр Олегович;6-19Р014/2019;;№6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Олегович;6-19Р014/2019;;№6</v>
      </c>
    </row>
    <row r="630" spans="1:8" ht="16.149999999999999" customHeight="1" x14ac:dyDescent="0.2">
      <c r="A630" s="72"/>
      <c r="B630" s="73" t="s">
        <v>1316</v>
      </c>
      <c r="C630" s="71" t="s">
        <v>1317</v>
      </c>
      <c r="D630" s="73" t="s">
        <v>55</v>
      </c>
      <c r="E630" s="50" t="str">
        <f t="shared" si="18"/>
        <v>Лускин Егор Евгеньевич;6-19Р173/2019;;№6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Евгеньевич;6-19Р173/2019;;№6</v>
      </c>
    </row>
    <row r="631" spans="1:8" ht="16.149999999999999" customHeight="1" x14ac:dyDescent="0.2">
      <c r="A631" s="72"/>
      <c r="B631" s="73" t="s">
        <v>1318</v>
      </c>
      <c r="C631" s="71" t="s">
        <v>1319</v>
      </c>
      <c r="D631" s="73" t="s">
        <v>55</v>
      </c>
      <c r="E631" s="50" t="str">
        <f t="shared" si="18"/>
        <v>Ляхов Даниил Евгеньевич;6-19Р119/2019;;№6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Евгеньевич;6-19Р119/2019;;№6</v>
      </c>
    </row>
    <row r="632" spans="1:8" ht="16.149999999999999" customHeight="1" x14ac:dyDescent="0.2">
      <c r="A632" s="72"/>
      <c r="B632" s="73" t="s">
        <v>1320</v>
      </c>
      <c r="C632" s="71" t="s">
        <v>1321</v>
      </c>
      <c r="D632" s="73" t="s">
        <v>55</v>
      </c>
      <c r="E632" s="50" t="str">
        <f t="shared" si="18"/>
        <v>Магомедов Зайнутдин Арсланович;6-19Р163/2019;;№6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Арсланович;6-19Р163/2019;;№6</v>
      </c>
    </row>
    <row r="633" spans="1:8" ht="16.149999999999999" customHeight="1" x14ac:dyDescent="0.2">
      <c r="A633" s="72"/>
      <c r="B633" s="73" t="s">
        <v>1322</v>
      </c>
      <c r="C633" s="71" t="s">
        <v>1323</v>
      </c>
      <c r="D633" s="73" t="s">
        <v>55</v>
      </c>
      <c r="E633" s="50" t="str">
        <f t="shared" si="18"/>
        <v>Магомедов Саид Джапарович;6-19Р120/2019;;№6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Джапарович;6-19Р120/2019;;№6</v>
      </c>
    </row>
    <row r="634" spans="1:8" ht="16.149999999999999" customHeight="1" x14ac:dyDescent="0.2">
      <c r="A634" s="72"/>
      <c r="B634" s="73" t="s">
        <v>1324</v>
      </c>
      <c r="C634" s="71" t="s">
        <v>1325</v>
      </c>
      <c r="D634" s="73" t="s">
        <v>55</v>
      </c>
      <c r="E634" s="50" t="str">
        <f t="shared" si="18"/>
        <v>Макарова Ольга Павловна;6-19Р057/2019;;№6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Павловна;6-19Р057/2019;;№6</v>
      </c>
    </row>
    <row r="635" spans="1:8" ht="16.149999999999999" customHeight="1" x14ac:dyDescent="0.2">
      <c r="A635" s="72"/>
      <c r="B635" s="73" t="s">
        <v>1326</v>
      </c>
      <c r="C635" s="71" t="s">
        <v>1327</v>
      </c>
      <c r="D635" s="73" t="s">
        <v>55</v>
      </c>
      <c r="E635" s="50" t="str">
        <f t="shared" si="18"/>
        <v>Максименко Юлия Игоревна;6-19Р058/2019;;№6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Игоревна;6-19Р058/2019;;№6</v>
      </c>
    </row>
    <row r="636" spans="1:8" ht="16.149999999999999" customHeight="1" x14ac:dyDescent="0.2">
      <c r="A636" s="72"/>
      <c r="B636" s="73" t="s">
        <v>1328</v>
      </c>
      <c r="C636" s="71" t="s">
        <v>1329</v>
      </c>
      <c r="D636" s="73" t="s">
        <v>55</v>
      </c>
      <c r="E636" s="50" t="str">
        <f t="shared" si="18"/>
        <v>Максимова Елизавета Геннадьевна;6-19Р121/2019;;№6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Геннадьевна;6-19Р121/2019;;№6</v>
      </c>
    </row>
    <row r="637" spans="1:8" ht="16.149999999999999" customHeight="1" x14ac:dyDescent="0.2">
      <c r="A637" s="72"/>
      <c r="B637" s="73" t="s">
        <v>1330</v>
      </c>
      <c r="C637" s="71" t="s">
        <v>1331</v>
      </c>
      <c r="D637" s="73" t="s">
        <v>55</v>
      </c>
      <c r="E637" s="50" t="str">
        <f t="shared" si="18"/>
        <v>Манюшин Илья Григорьевич;6-19Р059/2019;;№6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Григорьевич;6-19Р059/2019;;№6</v>
      </c>
    </row>
    <row r="638" spans="1:8" ht="16.149999999999999" customHeight="1" x14ac:dyDescent="0.2">
      <c r="A638" s="72"/>
      <c r="B638" s="73" t="s">
        <v>1332</v>
      </c>
      <c r="C638" s="71" t="s">
        <v>1333</v>
      </c>
      <c r="D638" s="73" t="s">
        <v>55</v>
      </c>
      <c r="E638" s="50" t="str">
        <f t="shared" si="18"/>
        <v>Марадудина Вероника Валерьевна;6-19Р005/2019;;№6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Валерьевна;6-19Р005/2019;;№6</v>
      </c>
    </row>
    <row r="639" spans="1:8" ht="16.149999999999999" customHeight="1" x14ac:dyDescent="0.2">
      <c r="A639" s="72"/>
      <c r="B639" s="73" t="s">
        <v>1334</v>
      </c>
      <c r="C639" s="71" t="s">
        <v>1335</v>
      </c>
      <c r="D639" s="73" t="s">
        <v>55</v>
      </c>
      <c r="E639" s="50" t="str">
        <f t="shared" si="18"/>
        <v>Масленников Артем Кириллович;6-19Р095/2019;;№6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Кириллович;6-19Р095/2019;;№6</v>
      </c>
    </row>
    <row r="640" spans="1:8" ht="16.149999999999999" customHeight="1" x14ac:dyDescent="0.2">
      <c r="A640" s="72"/>
      <c r="B640" s="73" t="s">
        <v>1336</v>
      </c>
      <c r="C640" s="71" t="s">
        <v>1337</v>
      </c>
      <c r="D640" s="73" t="s">
        <v>55</v>
      </c>
      <c r="E640" s="50" t="str">
        <f t="shared" si="18"/>
        <v>Мешалкин Марк Андреевич;6-19Р144/2019;;№6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Андреевич;6-19Р144/2019;;№6</v>
      </c>
    </row>
    <row r="641" spans="1:8" ht="16.149999999999999" customHeight="1" x14ac:dyDescent="0.2">
      <c r="A641" s="72"/>
      <c r="B641" s="73" t="s">
        <v>1338</v>
      </c>
      <c r="C641" s="71" t="s">
        <v>1339</v>
      </c>
      <c r="D641" s="73" t="s">
        <v>55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Николаевна;6-19Р123/2019;;№6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Николаевна;6-19Р123/2019;;№6</v>
      </c>
    </row>
    <row r="642" spans="1:8" ht="16.149999999999999" customHeight="1" x14ac:dyDescent="0.2">
      <c r="A642" s="72"/>
      <c r="B642" s="73" t="s">
        <v>1340</v>
      </c>
      <c r="C642" s="71" t="s">
        <v>1341</v>
      </c>
      <c r="D642" s="73" t="s">
        <v>55</v>
      </c>
      <c r="E642" s="50" t="str">
        <f t="shared" si="20"/>
        <v>Морозов Александр Юрьевич;6-19Р124/2019;;№6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Юрьевич;6-19Р124/2019;;№6</v>
      </c>
    </row>
    <row r="643" spans="1:8" ht="16.149999999999999" customHeight="1" x14ac:dyDescent="0.2">
      <c r="A643" s="72"/>
      <c r="B643" s="73" t="s">
        <v>1342</v>
      </c>
      <c r="C643" s="71" t="s">
        <v>1343</v>
      </c>
      <c r="D643" s="73" t="s">
        <v>55</v>
      </c>
      <c r="E643" s="50" t="str">
        <f t="shared" si="20"/>
        <v>Моршанский Владислав Сергеевич;6-19Р096/2019;;№6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Сергеевич;6-19Р096/2019;;№6</v>
      </c>
    </row>
    <row r="644" spans="1:8" ht="16.149999999999999" customHeight="1" x14ac:dyDescent="0.2">
      <c r="A644" s="72"/>
      <c r="B644" s="73" t="s">
        <v>1344</v>
      </c>
      <c r="C644" s="71" t="s">
        <v>1345</v>
      </c>
      <c r="D644" s="73" t="s">
        <v>55</v>
      </c>
      <c r="E644" s="50" t="str">
        <f t="shared" si="20"/>
        <v>Москвина Виктория Владимировна;6-19Р031/2019;;№6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Владимировна;6-19Р031/2019;;№6</v>
      </c>
    </row>
    <row r="645" spans="1:8" ht="16.149999999999999" customHeight="1" x14ac:dyDescent="0.2">
      <c r="A645" s="72"/>
      <c r="B645" s="73" t="s">
        <v>1346</v>
      </c>
      <c r="C645" s="71" t="s">
        <v>1347</v>
      </c>
      <c r="D645" s="73" t="s">
        <v>55</v>
      </c>
      <c r="E645" s="50" t="str">
        <f t="shared" si="20"/>
        <v>Насырова Римма Дамировна;6-19Р097/2019;;№6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Дамировна;6-19Р097/2019;;№6</v>
      </c>
    </row>
    <row r="646" spans="1:8" ht="16.149999999999999" customHeight="1" x14ac:dyDescent="0.2">
      <c r="A646" s="72"/>
      <c r="B646" s="73" t="s">
        <v>1348</v>
      </c>
      <c r="C646" s="71" t="s">
        <v>1349</v>
      </c>
      <c r="D646" s="73" t="s">
        <v>55</v>
      </c>
      <c r="E646" s="50" t="str">
        <f t="shared" si="20"/>
        <v>Наурзалиев Данияр Махмутович;6-19Р098/2019;;№6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Махмутович;6-19Р098/2019;;№6</v>
      </c>
    </row>
    <row r="647" spans="1:8" ht="16.149999999999999" customHeight="1" x14ac:dyDescent="0.2">
      <c r="A647" s="72"/>
      <c r="B647" s="73" t="s">
        <v>1350</v>
      </c>
      <c r="C647" s="71" t="s">
        <v>1351</v>
      </c>
      <c r="D647" s="73" t="s">
        <v>55</v>
      </c>
      <c r="E647" s="50" t="str">
        <f t="shared" si="20"/>
        <v>Никуленкова Олеся Вячеславовна;6-19Р062/2019;;№6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Вячеславовна;6-19Р062/2019;;№6</v>
      </c>
    </row>
    <row r="648" spans="1:8" ht="16.149999999999999" customHeight="1" x14ac:dyDescent="0.2">
      <c r="A648" s="72"/>
      <c r="B648" s="73" t="s">
        <v>1352</v>
      </c>
      <c r="C648" s="71" t="s">
        <v>1353</v>
      </c>
      <c r="D648" s="73" t="s">
        <v>55</v>
      </c>
      <c r="E648" s="50" t="str">
        <f t="shared" si="20"/>
        <v>Новиков Антон Александрович;6-19Р145/2019;;№6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Александрович;6-19Р145/2019;;№6</v>
      </c>
    </row>
    <row r="649" spans="1:8" ht="16.149999999999999" customHeight="1" x14ac:dyDescent="0.2">
      <c r="A649" s="72"/>
      <c r="B649" s="73" t="s">
        <v>1354</v>
      </c>
      <c r="C649" s="71" t="s">
        <v>1355</v>
      </c>
      <c r="D649" s="73" t="s">
        <v>55</v>
      </c>
      <c r="E649" s="50" t="str">
        <f t="shared" si="20"/>
        <v>Нягу Никита Валерьевич;6-19Р063/2019;;№6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Валерьевич;6-19Р063/2019;;№6</v>
      </c>
    </row>
    <row r="650" spans="1:8" ht="16.149999999999999" customHeight="1" x14ac:dyDescent="0.2">
      <c r="A650" s="72"/>
      <c r="B650" s="73" t="s">
        <v>1356</v>
      </c>
      <c r="C650" s="71" t="s">
        <v>1357</v>
      </c>
      <c r="D650" s="73" t="s">
        <v>55</v>
      </c>
      <c r="E650" s="50" t="str">
        <f t="shared" si="20"/>
        <v>Оганесян Милена Арсеновна;6-19Р164/2019;;№6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Арсеновна;6-19Р164/2019;;№6</v>
      </c>
    </row>
    <row r="651" spans="1:8" ht="16.149999999999999" customHeight="1" x14ac:dyDescent="0.2">
      <c r="A651" s="72"/>
      <c r="B651" s="73" t="s">
        <v>1358</v>
      </c>
      <c r="C651" s="71" t="s">
        <v>1359</v>
      </c>
      <c r="D651" s="73" t="s">
        <v>55</v>
      </c>
      <c r="E651" s="50" t="str">
        <f t="shared" si="20"/>
        <v>Озеров Александр Сергеевич;6-19Р064/2019;;№6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Сергеевич;6-19Р064/2019;;№6</v>
      </c>
    </row>
    <row r="652" spans="1:8" ht="16.149999999999999" customHeight="1" x14ac:dyDescent="0.2">
      <c r="A652" s="72"/>
      <c r="B652" s="73" t="s">
        <v>1360</v>
      </c>
      <c r="C652" s="71" t="s">
        <v>1361</v>
      </c>
      <c r="D652" s="73" t="s">
        <v>55</v>
      </c>
      <c r="E652" s="50" t="str">
        <f t="shared" si="20"/>
        <v>Очиров Бадма Юрьевич;6-19Р165/2019;;№6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Юрьевич;6-19Р165/2019;;№6</v>
      </c>
    </row>
    <row r="653" spans="1:8" ht="16.149999999999999" customHeight="1" x14ac:dyDescent="0.2">
      <c r="A653" s="72"/>
      <c r="B653" s="73" t="s">
        <v>1362</v>
      </c>
      <c r="C653" s="71" t="s">
        <v>1363</v>
      </c>
      <c r="D653" s="73" t="s">
        <v>55</v>
      </c>
      <c r="E653" s="50" t="str">
        <f t="shared" si="20"/>
        <v>Ошоров Саян Кимович;6-19Р174/2019;;№6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Кимович;6-19Р174/2019;;№6</v>
      </c>
    </row>
    <row r="654" spans="1:8" ht="16.149999999999999" customHeight="1" x14ac:dyDescent="0.2">
      <c r="A654" s="72"/>
      <c r="B654" s="73" t="s">
        <v>1364</v>
      </c>
      <c r="C654" s="71" t="s">
        <v>1365</v>
      </c>
      <c r="D654" s="73" t="s">
        <v>55</v>
      </c>
      <c r="E654" s="50" t="str">
        <f t="shared" si="20"/>
        <v>Партола Денис Алексеевич;6-19Р065/2019;;№6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Алексеевич;6-19Р065/2019;;№6</v>
      </c>
    </row>
    <row r="655" spans="1:8" ht="16.149999999999999" customHeight="1" x14ac:dyDescent="0.2">
      <c r="A655" s="72"/>
      <c r="B655" s="73" t="s">
        <v>1366</v>
      </c>
      <c r="C655" s="71" t="s">
        <v>1367</v>
      </c>
      <c r="D655" s="73" t="s">
        <v>55</v>
      </c>
      <c r="E655" s="50" t="str">
        <f t="shared" si="20"/>
        <v>Полякова Алиса Андреевна;6-19Р066/2019;;№6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Андреевна;6-19Р066/2019;;№6</v>
      </c>
    </row>
    <row r="656" spans="1:8" ht="16.149999999999999" customHeight="1" x14ac:dyDescent="0.2">
      <c r="A656" s="72"/>
      <c r="B656" s="73" t="s">
        <v>1368</v>
      </c>
      <c r="C656" s="71" t="s">
        <v>1369</v>
      </c>
      <c r="D656" s="73" t="s">
        <v>55</v>
      </c>
      <c r="E656" s="50" t="str">
        <f t="shared" si="20"/>
        <v>Поремов Евгений Сергеевич;6-19Р016/2019;;№6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Сергеевич;6-19Р016/2019;;№6</v>
      </c>
    </row>
    <row r="657" spans="1:8" ht="16.149999999999999" customHeight="1" x14ac:dyDescent="0.2">
      <c r="A657" s="72"/>
      <c r="B657" s="73" t="s">
        <v>1370</v>
      </c>
      <c r="C657" s="71" t="s">
        <v>1371</v>
      </c>
      <c r="D657" s="73" t="s">
        <v>55</v>
      </c>
      <c r="E657" s="50" t="str">
        <f t="shared" si="20"/>
        <v>Почечуев Виктор Андреевич;6-19Р100/2019;;№6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Андреевич;6-19Р100/2019;;№6</v>
      </c>
    </row>
    <row r="658" spans="1:8" ht="16.149999999999999" customHeight="1" x14ac:dyDescent="0.2">
      <c r="A658" s="72"/>
      <c r="B658" s="73" t="s">
        <v>1372</v>
      </c>
      <c r="C658" s="71" t="s">
        <v>1373</v>
      </c>
      <c r="D658" s="73" t="s">
        <v>55</v>
      </c>
      <c r="E658" s="50" t="str">
        <f t="shared" si="20"/>
        <v>Ратанова Ксения Владимировна;6-19Р102/2019;;№6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Владимировна;6-19Р102/2019;;№6</v>
      </c>
    </row>
    <row r="659" spans="1:8" ht="16.149999999999999" customHeight="1" x14ac:dyDescent="0.2">
      <c r="A659" s="72"/>
      <c r="B659" s="73" t="s">
        <v>1374</v>
      </c>
      <c r="C659" s="71" t="s">
        <v>1375</v>
      </c>
      <c r="D659" s="73" t="s">
        <v>55</v>
      </c>
      <c r="E659" s="50" t="str">
        <f t="shared" si="20"/>
        <v>Рахматуллин Данил Дмитриевич;6-19Р175/2019;;№6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Дмитриевич;6-19Р175/2019;;№6</v>
      </c>
    </row>
    <row r="660" spans="1:8" ht="16.149999999999999" customHeight="1" x14ac:dyDescent="0.2">
      <c r="A660" s="72"/>
      <c r="B660" s="73" t="s">
        <v>1376</v>
      </c>
      <c r="C660" s="71" t="s">
        <v>1377</v>
      </c>
      <c r="D660" s="73" t="s">
        <v>55</v>
      </c>
      <c r="E660" s="50" t="str">
        <f t="shared" si="20"/>
        <v>Рыбалко Никита Сергеевич;6-19Р103/2019;;№6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Сергеевич;6-19Р103/2019;;№6</v>
      </c>
    </row>
    <row r="661" spans="1:8" ht="16.149999999999999" customHeight="1" x14ac:dyDescent="0.2">
      <c r="A661" s="72"/>
      <c r="B661" s="73" t="s">
        <v>1378</v>
      </c>
      <c r="C661" s="71" t="s">
        <v>1379</v>
      </c>
      <c r="D661" s="73" t="s">
        <v>55</v>
      </c>
      <c r="E661" s="50" t="str">
        <f t="shared" si="20"/>
        <v>Савостьянов Василий Александрович;6-19Р067/2019;;№6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Александрович;6-19Р067/2019;;№6</v>
      </c>
    </row>
    <row r="662" spans="1:8" ht="16.149999999999999" customHeight="1" x14ac:dyDescent="0.2">
      <c r="A662" s="72"/>
      <c r="B662" s="73" t="s">
        <v>1380</v>
      </c>
      <c r="C662" s="71" t="s">
        <v>1381</v>
      </c>
      <c r="D662" s="73" t="s">
        <v>55</v>
      </c>
      <c r="E662" s="50" t="str">
        <f t="shared" si="20"/>
        <v>Самойлов Арсений Альбертович;6-19Р127/2019;;№6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Альбертович;6-19Р127/2019;;№6</v>
      </c>
    </row>
    <row r="663" spans="1:8" ht="16.149999999999999" customHeight="1" x14ac:dyDescent="0.2">
      <c r="A663" s="72"/>
      <c r="B663" s="73" t="s">
        <v>1382</v>
      </c>
      <c r="C663" s="71" t="s">
        <v>1383</v>
      </c>
      <c r="D663" s="73" t="s">
        <v>55</v>
      </c>
      <c r="E663" s="50" t="str">
        <f t="shared" si="20"/>
        <v>Семченок Всеволод Владимирович;6-19Р034/2019;;№6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Владимирович;6-19Р034/2019;;№6</v>
      </c>
    </row>
    <row r="664" spans="1:8" ht="16.149999999999999" customHeight="1" x14ac:dyDescent="0.2">
      <c r="A664" s="72"/>
      <c r="B664" s="73" t="s">
        <v>1384</v>
      </c>
      <c r="C664" s="71" t="s">
        <v>1385</v>
      </c>
      <c r="D664" s="73" t="s">
        <v>55</v>
      </c>
      <c r="E664" s="50" t="str">
        <f t="shared" si="20"/>
        <v>Смирнов Дмитрий Александрович;6-19Р020/2019;;№6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Александрович;6-19Р020/2019;;№6</v>
      </c>
    </row>
    <row r="665" spans="1:8" ht="16.149999999999999" customHeight="1" x14ac:dyDescent="0.2">
      <c r="A665" s="72"/>
      <c r="B665" s="73" t="s">
        <v>1386</v>
      </c>
      <c r="C665" s="71" t="s">
        <v>1387</v>
      </c>
      <c r="D665" s="73" t="s">
        <v>55</v>
      </c>
      <c r="E665" s="50" t="str">
        <f t="shared" si="20"/>
        <v>Смирнова Дарья Вадимовна;6-19Р070/2019;;№6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Вадимовна;6-19Р070/2019;;№6</v>
      </c>
    </row>
    <row r="666" spans="1:8" ht="16.149999999999999" customHeight="1" x14ac:dyDescent="0.2">
      <c r="A666" s="72"/>
      <c r="B666" s="73" t="s">
        <v>1388</v>
      </c>
      <c r="C666" s="71" t="s">
        <v>1389</v>
      </c>
      <c r="D666" s="73" t="s">
        <v>55</v>
      </c>
      <c r="E666" s="50" t="str">
        <f t="shared" si="20"/>
        <v>Степанов Никита Николаевич;6-19Р167/2019;;№6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Николаевич;6-19Р167/2019;;№6</v>
      </c>
    </row>
    <row r="667" spans="1:8" ht="16.149999999999999" customHeight="1" x14ac:dyDescent="0.2">
      <c r="A667" s="72"/>
      <c r="B667" s="73" t="s">
        <v>1390</v>
      </c>
      <c r="C667" s="71" t="s">
        <v>1391</v>
      </c>
      <c r="D667" s="73" t="s">
        <v>55</v>
      </c>
      <c r="E667" s="50" t="str">
        <f t="shared" si="20"/>
        <v>Тихомиров Степан Александрович;6-19Р177/2019;;№6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Александрович;6-19Р177/2019;;№6</v>
      </c>
    </row>
    <row r="668" spans="1:8" ht="16.149999999999999" customHeight="1" x14ac:dyDescent="0.2">
      <c r="A668" s="72"/>
      <c r="B668" s="73" t="s">
        <v>1392</v>
      </c>
      <c r="C668" s="71" t="s">
        <v>1393</v>
      </c>
      <c r="D668" s="73" t="s">
        <v>55</v>
      </c>
      <c r="E668" s="50" t="str">
        <f t="shared" si="20"/>
        <v>Товкань Василина Андреевна;6-19Р149/2019;;№6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Андреевна;6-19Р149/2019;;№6</v>
      </c>
    </row>
    <row r="669" spans="1:8" ht="16.149999999999999" customHeight="1" x14ac:dyDescent="0.2">
      <c r="A669" s="72"/>
      <c r="B669" s="73" t="s">
        <v>1394</v>
      </c>
      <c r="C669" s="71" t="s">
        <v>1395</v>
      </c>
      <c r="D669" s="73" t="s">
        <v>55</v>
      </c>
      <c r="E669" s="50" t="str">
        <f t="shared" si="20"/>
        <v>Фархутдинова Карина Ильдаровна;6-19Р104/2019;;№6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Ильдаровна;6-19Р104/2019;;№6</v>
      </c>
    </row>
    <row r="670" spans="1:8" ht="16.149999999999999" customHeight="1" x14ac:dyDescent="0.2">
      <c r="A670" s="72"/>
      <c r="B670" s="73" t="s">
        <v>1396</v>
      </c>
      <c r="C670" s="71" t="s">
        <v>1397</v>
      </c>
      <c r="D670" s="73" t="s">
        <v>55</v>
      </c>
      <c r="E670" s="50" t="str">
        <f t="shared" si="20"/>
        <v>Фролов Вальдемар Дмитриевич;6-19Р035/2019;;№6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Дмитриевич;6-19Р035/2019;;№6</v>
      </c>
    </row>
    <row r="671" spans="1:8" ht="16.149999999999999" customHeight="1" x14ac:dyDescent="0.2">
      <c r="A671" s="72"/>
      <c r="B671" s="73" t="s">
        <v>1398</v>
      </c>
      <c r="C671" s="71" t="s">
        <v>1399</v>
      </c>
      <c r="D671" s="73" t="s">
        <v>55</v>
      </c>
      <c r="E671" s="50" t="str">
        <f t="shared" si="20"/>
        <v>Чернышов Сергей Андреевич;6-19Р071/2019;;№6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Андреевич;6-19Р071/2019;;№6</v>
      </c>
    </row>
    <row r="672" spans="1:8" ht="16.149999999999999" customHeight="1" x14ac:dyDescent="0.2">
      <c r="A672" s="72"/>
      <c r="B672" s="73" t="s">
        <v>1400</v>
      </c>
      <c r="C672" s="71" t="s">
        <v>1401</v>
      </c>
      <c r="D672" s="73" t="s">
        <v>55</v>
      </c>
      <c r="E672" s="50" t="str">
        <f t="shared" si="20"/>
        <v>Чуприн Артем Александрович;6-19Р072/2019;;№6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Александрович;6-19Р072/2019;;№6</v>
      </c>
    </row>
    <row r="673" spans="1:8" ht="16.149999999999999" customHeight="1" x14ac:dyDescent="0.2">
      <c r="A673" s="72"/>
      <c r="B673" s="73" t="s">
        <v>1402</v>
      </c>
      <c r="C673" s="71" t="s">
        <v>1403</v>
      </c>
      <c r="D673" s="73" t="s">
        <v>55</v>
      </c>
      <c r="E673" s="50" t="str">
        <f t="shared" si="20"/>
        <v>Шепелев Александр Михайлович;6-19Р036/2019;;№6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Михайлович;6-19Р036/2019;;№6</v>
      </c>
    </row>
    <row r="674" spans="1:8" ht="16.149999999999999" customHeight="1" x14ac:dyDescent="0.2">
      <c r="A674" s="72"/>
      <c r="B674" s="73" t="s">
        <v>1404</v>
      </c>
      <c r="C674" s="71" t="s">
        <v>1405</v>
      </c>
      <c r="D674" s="73" t="s">
        <v>55</v>
      </c>
      <c r="E674" s="50" t="str">
        <f t="shared" si="20"/>
        <v>Шипелев Антон Андреевич;6-19Р132/2019;;№6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Андреевич;6-19Р132/2019;;№6</v>
      </c>
    </row>
    <row r="675" spans="1:8" ht="16.149999999999999" customHeight="1" x14ac:dyDescent="0.2">
      <c r="A675" s="72"/>
      <c r="B675" s="73" t="s">
        <v>1406</v>
      </c>
      <c r="C675" s="71" t="s">
        <v>1407</v>
      </c>
      <c r="D675" s="73" t="s">
        <v>55</v>
      </c>
      <c r="E675" s="50" t="str">
        <f t="shared" si="20"/>
        <v>Шишлов Михаил Андреевич;6-19Р074/2019;;№6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Андреевич;6-19Р074/2019;;№6</v>
      </c>
    </row>
    <row r="676" spans="1:8" ht="16.149999999999999" customHeight="1" x14ac:dyDescent="0.2">
      <c r="A676" s="72"/>
      <c r="B676" s="73" t="s">
        <v>1408</v>
      </c>
      <c r="C676" s="71" t="s">
        <v>1409</v>
      </c>
      <c r="D676" s="73" t="s">
        <v>55</v>
      </c>
      <c r="E676" s="50" t="str">
        <f t="shared" si="20"/>
        <v>Щеглов Андрей Сергеевич;6-19Р037/2019;;№6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Сергеевич;6-19Р037/2019;;№6</v>
      </c>
    </row>
    <row r="677" spans="1:8" ht="16.149999999999999" customHeight="1" x14ac:dyDescent="0.2">
      <c r="A677" s="72"/>
      <c r="B677" s="73" t="s">
        <v>1410</v>
      </c>
      <c r="C677" s="71" t="s">
        <v>1411</v>
      </c>
      <c r="D677" s="73" t="s">
        <v>55</v>
      </c>
      <c r="E677" s="50" t="str">
        <f t="shared" si="20"/>
        <v>Эсен Эрай ;6-19Р138/2019;;№6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;6-19Р138/2019;;№6</v>
      </c>
    </row>
    <row r="678" spans="1:8" ht="16.149999999999999" customHeight="1" x14ac:dyDescent="0.2">
      <c r="A678" s="72"/>
      <c r="B678" s="73" t="s">
        <v>1412</v>
      </c>
      <c r="C678" s="71" t="s">
        <v>1413</v>
      </c>
      <c r="D678" s="73" t="s">
        <v>55</v>
      </c>
      <c r="E678" s="50" t="str">
        <f t="shared" si="20"/>
        <v>Азевич Марк Павлович;6-19Р184/2019;;№6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Павлович;6-19Р184/2019;;№6</v>
      </c>
    </row>
    <row r="679" spans="1:8" ht="16.149999999999999" customHeight="1" x14ac:dyDescent="0.2">
      <c r="A679" s="72"/>
      <c r="B679" s="73" t="s">
        <v>1414</v>
      </c>
      <c r="C679" s="71" t="s">
        <v>1415</v>
      </c>
      <c r="D679" s="73" t="s">
        <v>55</v>
      </c>
      <c r="E679" s="50" t="str">
        <f t="shared" si="20"/>
        <v>Аллахвердиев Джейхун Али оглы;6-19Р209/2019;;№6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оглы;6-19Р209/2019;;№6</v>
      </c>
    </row>
    <row r="680" spans="1:8" ht="16.149999999999999" customHeight="1" x14ac:dyDescent="0.2">
      <c r="A680" s="72"/>
      <c r="B680" s="73" t="s">
        <v>1416</v>
      </c>
      <c r="C680" s="71" t="s">
        <v>1417</v>
      </c>
      <c r="D680" s="73" t="s">
        <v>55</v>
      </c>
      <c r="E680" s="50" t="str">
        <f t="shared" si="20"/>
        <v>Аушев Муслим Магометович;6-19Р212/2019;;№6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Магометович;6-19Р212/2019;;№6</v>
      </c>
    </row>
    <row r="681" spans="1:8" ht="16.149999999999999" customHeight="1" x14ac:dyDescent="0.2">
      <c r="A681" s="72"/>
      <c r="B681" s="73" t="s">
        <v>1418</v>
      </c>
      <c r="C681" s="71" t="s">
        <v>1419</v>
      </c>
      <c r="D681" s="73" t="s">
        <v>55</v>
      </c>
      <c r="E681" s="50" t="str">
        <f t="shared" si="20"/>
        <v>Бровкин Василий Васильевич;6-19Р217/2019;;№6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Васильевич;6-19Р217/2019;;№6</v>
      </c>
    </row>
    <row r="682" spans="1:8" ht="16.149999999999999" customHeight="1" x14ac:dyDescent="0.2">
      <c r="A682" s="72"/>
      <c r="B682" s="73" t="s">
        <v>1420</v>
      </c>
      <c r="C682" s="71" t="s">
        <v>1421</v>
      </c>
      <c r="D682" s="73" t="s">
        <v>55</v>
      </c>
      <c r="E682" s="50" t="str">
        <f t="shared" si="20"/>
        <v>Бурангулов Никита Сергеевич;6-19Р180/2019;;№6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Сергеевич;6-19Р180/2019;;№6</v>
      </c>
    </row>
    <row r="683" spans="1:8" ht="16.149999999999999" customHeight="1" x14ac:dyDescent="0.2">
      <c r="A683" s="72"/>
      <c r="B683" s="73" t="s">
        <v>1422</v>
      </c>
      <c r="C683" s="71" t="s">
        <v>1423</v>
      </c>
      <c r="D683" s="73" t="s">
        <v>55</v>
      </c>
      <c r="E683" s="50" t="str">
        <f t="shared" si="20"/>
        <v>Васильев Михаил Евгеньевич;6-19Р185/2019;;№6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Евгеньевич;6-19Р185/2019;;№6</v>
      </c>
    </row>
    <row r="684" spans="1:8" ht="16.149999999999999" customHeight="1" x14ac:dyDescent="0.2">
      <c r="A684" s="72"/>
      <c r="B684" s="73" t="s">
        <v>1424</v>
      </c>
      <c r="C684" s="71" t="s">
        <v>1425</v>
      </c>
      <c r="D684" s="73" t="s">
        <v>55</v>
      </c>
      <c r="E684" s="50" t="str">
        <f t="shared" si="20"/>
        <v>Ватутин Илья Андреевич;6-19Р220/2019;;№6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Андреевич;6-19Р220/2019;;№6</v>
      </c>
    </row>
    <row r="685" spans="1:8" ht="16.149999999999999" customHeight="1" x14ac:dyDescent="0.2">
      <c r="A685" s="72"/>
      <c r="B685" s="73" t="s">
        <v>1426</v>
      </c>
      <c r="C685" s="71" t="s">
        <v>1427</v>
      </c>
      <c r="D685" s="73" t="s">
        <v>55</v>
      </c>
      <c r="E685" s="50" t="str">
        <f t="shared" si="20"/>
        <v>Габбасов Асылхан Каирболатулы;6-19Р179/2019;;№6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Каирболатулы;6-19Р179/2019;;№6</v>
      </c>
    </row>
    <row r="686" spans="1:8" ht="16.149999999999999" customHeight="1" x14ac:dyDescent="0.2">
      <c r="A686" s="72"/>
      <c r="B686" s="73" t="s">
        <v>1428</v>
      </c>
      <c r="C686" s="71" t="s">
        <v>1429</v>
      </c>
      <c r="D686" s="73" t="s">
        <v>55</v>
      </c>
      <c r="E686" s="50" t="str">
        <f t="shared" si="20"/>
        <v>Горожанкин Захар Владимирович;6-19Р181/2019;;№6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Владимирович;6-19Р181/2019;;№6</v>
      </c>
    </row>
    <row r="687" spans="1:8" ht="16.149999999999999" customHeight="1" x14ac:dyDescent="0.2">
      <c r="A687" s="72"/>
      <c r="B687" s="73" t="s">
        <v>1430</v>
      </c>
      <c r="C687" s="71" t="s">
        <v>1431</v>
      </c>
      <c r="D687" s="73" t="s">
        <v>55</v>
      </c>
      <c r="E687" s="50" t="str">
        <f t="shared" si="20"/>
        <v>Давлетбердина Лейсан Ильфатовна;6-19Р190/2019;;№6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Ильфатовна;6-19Р190/2019;;№6</v>
      </c>
    </row>
    <row r="688" spans="1:8" ht="16.149999999999999" customHeight="1" x14ac:dyDescent="0.2">
      <c r="A688" s="72"/>
      <c r="B688" s="73" t="s">
        <v>1432</v>
      </c>
      <c r="C688" s="71" t="s">
        <v>1433</v>
      </c>
      <c r="D688" s="73" t="s">
        <v>55</v>
      </c>
      <c r="E688" s="50" t="str">
        <f t="shared" si="20"/>
        <v>Дунайцев Александр Иванович;6-19Р229/2019;;№6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Иванович;6-19Р229/2019;;№6</v>
      </c>
    </row>
    <row r="689" spans="1:8" ht="16.149999999999999" customHeight="1" x14ac:dyDescent="0.2">
      <c r="A689" s="72"/>
      <c r="B689" s="73" t="s">
        <v>1434</v>
      </c>
      <c r="C689" s="71" t="s">
        <v>1435</v>
      </c>
      <c r="D689" s="73" t="s">
        <v>55</v>
      </c>
      <c r="E689" s="50" t="str">
        <f t="shared" si="20"/>
        <v>Егоршин Матвей Ильич;6-19Р230/2019;;№6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Ильич;6-19Р230/2019;;№6</v>
      </c>
    </row>
    <row r="690" spans="1:8" ht="16.149999999999999" customHeight="1" x14ac:dyDescent="0.2">
      <c r="A690" s="72"/>
      <c r="B690" s="73" t="s">
        <v>1436</v>
      </c>
      <c r="C690" s="71" t="s">
        <v>1437</v>
      </c>
      <c r="D690" s="73" t="s">
        <v>55</v>
      </c>
      <c r="E690" s="50" t="str">
        <f t="shared" si="20"/>
        <v>Ерошина Дарья Павловна;6-19Р232/2019;;№6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Павловна;6-19Р232/2019;;№6</v>
      </c>
    </row>
    <row r="691" spans="1:8" ht="16.149999999999999" customHeight="1" x14ac:dyDescent="0.2">
      <c r="A691" s="72"/>
      <c r="B691" s="73" t="s">
        <v>1438</v>
      </c>
      <c r="C691" s="71" t="s">
        <v>1439</v>
      </c>
      <c r="D691" s="73" t="s">
        <v>55</v>
      </c>
      <c r="E691" s="50" t="str">
        <f t="shared" si="20"/>
        <v>Згерский Илья Евгеньевич;6-19Р191/2019;;№6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Евгеньевич;6-19Р191/2019;;№6</v>
      </c>
    </row>
    <row r="692" spans="1:8" ht="16.149999999999999" customHeight="1" x14ac:dyDescent="0.2">
      <c r="A692" s="72"/>
      <c r="B692" s="73" t="s">
        <v>1440</v>
      </c>
      <c r="C692" s="71" t="s">
        <v>1441</v>
      </c>
      <c r="D692" s="73" t="s">
        <v>55</v>
      </c>
      <c r="E692" s="50" t="str">
        <f t="shared" si="20"/>
        <v>Кипоть Данила Вадимович;6-19Р236/2019;;№6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Вадимович;6-19Р236/2019;;№6</v>
      </c>
    </row>
    <row r="693" spans="1:8" ht="16.149999999999999" customHeight="1" x14ac:dyDescent="0.2">
      <c r="A693" s="72"/>
      <c r="B693" s="73" t="s">
        <v>1442</v>
      </c>
      <c r="C693" s="71" t="s">
        <v>1443</v>
      </c>
      <c r="D693" s="73" t="s">
        <v>55</v>
      </c>
      <c r="E693" s="50" t="str">
        <f t="shared" si="20"/>
        <v>Куимов Алексей Константинович;6-19Р195/2019;;№6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Константинович;6-19Р195/2019;;№6</v>
      </c>
    </row>
    <row r="694" spans="1:8" ht="16.149999999999999" customHeight="1" x14ac:dyDescent="0.2">
      <c r="A694" s="72"/>
      <c r="B694" s="73" t="s">
        <v>1444</v>
      </c>
      <c r="C694" s="71" t="s">
        <v>1445</v>
      </c>
      <c r="D694" s="73" t="s">
        <v>55</v>
      </c>
      <c r="E694" s="50" t="str">
        <f t="shared" si="20"/>
        <v>Никульшин Сергей Александрович;6-19Р249/2019;;№6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Александрович;6-19Р249/2019;;№6</v>
      </c>
    </row>
    <row r="695" spans="1:8" ht="16.149999999999999" customHeight="1" x14ac:dyDescent="0.2">
      <c r="A695" s="72"/>
      <c r="B695" s="73" t="s">
        <v>1446</v>
      </c>
      <c r="C695" s="71" t="s">
        <v>1447</v>
      </c>
      <c r="D695" s="73" t="s">
        <v>55</v>
      </c>
      <c r="E695" s="50" t="str">
        <f t="shared" si="20"/>
        <v>Новицкий Борис Андреевич;6-19Р250/2019;;№6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Андреевич;6-19Р250/2019;;№6</v>
      </c>
    </row>
    <row r="696" spans="1:8" ht="16.149999999999999" customHeight="1" x14ac:dyDescent="0.2">
      <c r="A696" s="72"/>
      <c r="B696" s="73" t="s">
        <v>1448</v>
      </c>
      <c r="C696" s="71" t="s">
        <v>1449</v>
      </c>
      <c r="D696" s="73" t="s">
        <v>55</v>
      </c>
      <c r="E696" s="50" t="str">
        <f t="shared" si="20"/>
        <v>Прохоров Владимир Эдуардович;6-19Р199/2019;;№6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Эдуардович;6-19Р199/2019;;№6</v>
      </c>
    </row>
    <row r="697" spans="1:8" ht="16.149999999999999" customHeight="1" x14ac:dyDescent="0.2">
      <c r="A697" s="72"/>
      <c r="B697" s="73" t="s">
        <v>1450</v>
      </c>
      <c r="C697" s="71" t="s">
        <v>1451</v>
      </c>
      <c r="D697" s="73" t="s">
        <v>55</v>
      </c>
      <c r="E697" s="50" t="str">
        <f t="shared" si="20"/>
        <v>Прохоров Давид Артемович;6-19Р200/2019;;№6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Артемович;6-19Р200/2019;;№6</v>
      </c>
    </row>
    <row r="698" spans="1:8" ht="16.149999999999999" customHeight="1" x14ac:dyDescent="0.2">
      <c r="A698" s="72"/>
      <c r="B698" s="73" t="s">
        <v>1452</v>
      </c>
      <c r="C698" s="71" t="s">
        <v>1453</v>
      </c>
      <c r="D698" s="73" t="s">
        <v>55</v>
      </c>
      <c r="E698" s="50" t="str">
        <f t="shared" si="20"/>
        <v>Удовик Иван Андреевич;6-19Р203/2019;;№6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Андреевич;6-19Р203/2019;;№6</v>
      </c>
    </row>
    <row r="699" spans="1:8" ht="16.149999999999999" customHeight="1" x14ac:dyDescent="0.2">
      <c r="A699" s="72"/>
      <c r="B699" s="73" t="s">
        <v>1454</v>
      </c>
      <c r="C699" s="71" t="s">
        <v>1455</v>
      </c>
      <c r="D699" s="73" t="s">
        <v>55</v>
      </c>
      <c r="E699" s="50" t="str">
        <f t="shared" si="20"/>
        <v>Чернышева Елизавета Андреевна;6-19Р696/2019;;№6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Андреевна;6-19Р696/2019;;№6</v>
      </c>
    </row>
    <row r="700" spans="1:8" ht="16.149999999999999" customHeight="1" x14ac:dyDescent="0.2">
      <c r="A700" s="72"/>
      <c r="B700" s="73" t="s">
        <v>1456</v>
      </c>
      <c r="C700" s="71" t="s">
        <v>1457</v>
      </c>
      <c r="D700" s="73" t="s">
        <v>55</v>
      </c>
      <c r="E700" s="50" t="str">
        <f t="shared" si="20"/>
        <v>Алексеева Анна  Андреевна;6-19РМ065/2019;;№6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Андреевна;6-19РМ065/2019;;№6</v>
      </c>
    </row>
    <row r="701" spans="1:8" ht="16.149999999999999" customHeight="1" x14ac:dyDescent="0.2">
      <c r="A701" s="72"/>
      <c r="B701" s="73" t="s">
        <v>1458</v>
      </c>
      <c r="C701" s="71" t="s">
        <v>1459</v>
      </c>
      <c r="D701" s="73" t="s">
        <v>55</v>
      </c>
      <c r="E701" s="50" t="str">
        <f t="shared" si="20"/>
        <v>Беленчук Родион  Леонидович;6-19РМ021/2019;;№6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Леонидович;6-19РМ021/2019;;№6</v>
      </c>
    </row>
    <row r="702" spans="1:8" ht="16.149999999999999" customHeight="1" x14ac:dyDescent="0.2">
      <c r="A702" s="72"/>
      <c r="B702" s="73" t="s">
        <v>1460</v>
      </c>
      <c r="C702" s="71" t="s">
        <v>1461</v>
      </c>
      <c r="D702" s="73" t="s">
        <v>55</v>
      </c>
      <c r="E702" s="50" t="str">
        <f t="shared" si="20"/>
        <v>Бирюков Алексей  Сергеевич;6-19РМ066/2019;;№6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Сергеевич;6-19РМ066/2019;;№6</v>
      </c>
    </row>
    <row r="703" spans="1:8" ht="16.149999999999999" customHeight="1" x14ac:dyDescent="0.2">
      <c r="A703" s="72"/>
      <c r="B703" s="73" t="s">
        <v>1462</v>
      </c>
      <c r="C703" s="71" t="s">
        <v>1463</v>
      </c>
      <c r="D703" s="73" t="s">
        <v>55</v>
      </c>
      <c r="E703" s="50" t="str">
        <f t="shared" si="20"/>
        <v>Викулин Сергей  Дмитриевич;6-19РМ046/2019;;№6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Дмитриевич;6-19РМ046/2019;;№6</v>
      </c>
    </row>
    <row r="704" spans="1:8" ht="16.149999999999999" customHeight="1" x14ac:dyDescent="0.2">
      <c r="A704" s="72"/>
      <c r="B704" s="73" t="s">
        <v>1464</v>
      </c>
      <c r="C704" s="71" t="s">
        <v>1465</v>
      </c>
      <c r="D704" s="73" t="s">
        <v>55</v>
      </c>
      <c r="E704" s="50" t="str">
        <f t="shared" si="20"/>
        <v>Гарифуллин Тимур  Талгатович;6-19РМ048/2019;;№6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Талгатович;6-19РМ048/2019;;№6</v>
      </c>
    </row>
    <row r="705" spans="1:8" ht="16.149999999999999" customHeight="1" x14ac:dyDescent="0.2">
      <c r="A705" s="72"/>
      <c r="B705" s="73" t="s">
        <v>1466</v>
      </c>
      <c r="C705" s="71" t="s">
        <v>1467</v>
      </c>
      <c r="D705" s="73" t="s">
        <v>55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Ийсаевна;6-19РМ022/2019;;№6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Ийсаевна;6-19РМ022/2019;;№6</v>
      </c>
    </row>
    <row r="706" spans="1:8" ht="16.149999999999999" customHeight="1" x14ac:dyDescent="0.2">
      <c r="A706" s="72"/>
      <c r="B706" s="73" t="s">
        <v>1468</v>
      </c>
      <c r="C706" s="71" t="s">
        <v>1469</v>
      </c>
      <c r="D706" s="73" t="s">
        <v>55</v>
      </c>
      <c r="E706" s="50" t="str">
        <f t="shared" si="22"/>
        <v>Дворецкий Владимир  Владимирович;6-19РМ023/2019;;№6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Владимирович;6-19РМ023/2019;;№6</v>
      </c>
    </row>
    <row r="707" spans="1:8" ht="16.149999999999999" customHeight="1" x14ac:dyDescent="0.2">
      <c r="A707" s="72"/>
      <c r="B707" s="73" t="s">
        <v>1470</v>
      </c>
      <c r="C707" s="71" t="s">
        <v>1471</v>
      </c>
      <c r="D707" s="73" t="s">
        <v>55</v>
      </c>
      <c r="E707" s="50" t="str">
        <f t="shared" si="22"/>
        <v>Ерин Дмитрий  Владимирович;6-19РМ070/2019;;№6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Владимирович;6-19РМ070/2019;;№6</v>
      </c>
    </row>
    <row r="708" spans="1:8" ht="16.149999999999999" customHeight="1" x14ac:dyDescent="0.2">
      <c r="A708" s="72"/>
      <c r="B708" s="73" t="s">
        <v>1472</v>
      </c>
      <c r="C708" s="71" t="s">
        <v>1473</v>
      </c>
      <c r="D708" s="73" t="s">
        <v>55</v>
      </c>
      <c r="E708" s="50" t="str">
        <f t="shared" si="22"/>
        <v>Кравцов Максим  Андреевич;6-19РМ072/2019;;№6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Андреевич;6-19РМ072/2019;;№6</v>
      </c>
    </row>
    <row r="709" spans="1:8" ht="16.149999999999999" customHeight="1" x14ac:dyDescent="0.2">
      <c r="A709" s="72"/>
      <c r="B709" s="73" t="s">
        <v>1474</v>
      </c>
      <c r="C709" s="71" t="s">
        <v>1475</v>
      </c>
      <c r="D709" s="73" t="s">
        <v>55</v>
      </c>
      <c r="E709" s="50" t="str">
        <f t="shared" si="22"/>
        <v>Мигранов Рустам  Рамилевич;6-19РМ056/2019;;№6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Рамилевич;6-19РМ056/2019;;№6</v>
      </c>
    </row>
    <row r="710" spans="1:8" ht="16.149999999999999" customHeight="1" x14ac:dyDescent="0.2">
      <c r="A710" s="72"/>
      <c r="B710" s="73" t="s">
        <v>1476</v>
      </c>
      <c r="C710" s="71" t="s">
        <v>1477</v>
      </c>
      <c r="D710" s="73" t="s">
        <v>55</v>
      </c>
      <c r="E710" s="50" t="str">
        <f t="shared" si="22"/>
        <v>Мозгунова Анастасия  Сергеевна;6-19РМ012/2019;;№6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Сергеевна;6-19РМ012/2019;;№6</v>
      </c>
    </row>
    <row r="711" spans="1:8" ht="16.149999999999999" customHeight="1" x14ac:dyDescent="0.2">
      <c r="A711" s="72"/>
      <c r="B711" s="73" t="s">
        <v>1478</v>
      </c>
      <c r="C711" s="71" t="s">
        <v>1479</v>
      </c>
      <c r="D711" s="73" t="s">
        <v>55</v>
      </c>
      <c r="E711" s="50" t="str">
        <f t="shared" si="22"/>
        <v>Муратов Кирилл  Леонидович;6-19РМ057/2019;;№6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Леонидович;6-19РМ057/2019;;№6</v>
      </c>
    </row>
    <row r="712" spans="1:8" ht="16.149999999999999" customHeight="1" x14ac:dyDescent="0.2">
      <c r="A712" s="72"/>
      <c r="B712" s="73" t="s">
        <v>1480</v>
      </c>
      <c r="C712" s="71" t="s">
        <v>1481</v>
      </c>
      <c r="D712" s="73" t="s">
        <v>55</v>
      </c>
      <c r="E712" s="50" t="str">
        <f t="shared" si="22"/>
        <v>Мухутдинов Эдуард  Альбертович;6-19РМ074/2019;;№6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Альбертович;6-19РМ074/2019;;№6</v>
      </c>
    </row>
    <row r="713" spans="1:8" ht="16.149999999999999" customHeight="1" x14ac:dyDescent="0.2">
      <c r="A713" s="72"/>
      <c r="B713" s="73" t="s">
        <v>1482</v>
      </c>
      <c r="C713" s="71" t="s">
        <v>1483</v>
      </c>
      <c r="D713" s="73" t="s">
        <v>55</v>
      </c>
      <c r="E713" s="50" t="str">
        <f t="shared" si="22"/>
        <v>Привалова Екатерина  Германовна;6-19РМ041/2019;;№6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Германовна;6-19РМ041/2019;;№6</v>
      </c>
    </row>
    <row r="714" spans="1:8" ht="16.149999999999999" customHeight="1" x14ac:dyDescent="0.2">
      <c r="A714" s="72"/>
      <c r="B714" s="73" t="s">
        <v>1484</v>
      </c>
      <c r="C714" s="71" t="s">
        <v>1485</v>
      </c>
      <c r="D714" s="73" t="s">
        <v>55</v>
      </c>
      <c r="E714" s="50" t="str">
        <f t="shared" si="22"/>
        <v>Ролдугин Григорий  Алексеевич;6-19РМ076/2019;;№6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Алексеевич;6-19РМ076/2019;;№6</v>
      </c>
    </row>
    <row r="715" spans="1:8" ht="16.149999999999999" customHeight="1" x14ac:dyDescent="0.2">
      <c r="A715" s="72"/>
      <c r="B715" s="73" t="s">
        <v>1486</v>
      </c>
      <c r="C715" s="71" t="s">
        <v>1487</v>
      </c>
      <c r="D715" s="73" t="s">
        <v>55</v>
      </c>
      <c r="E715" s="50" t="str">
        <f t="shared" si="22"/>
        <v>Сингур Алексей  Витальевич;6-19РМ014/2019;;№6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Витальевич;6-19РМ014/2019;;№6</v>
      </c>
    </row>
    <row r="716" spans="1:8" ht="16.149999999999999" customHeight="1" x14ac:dyDescent="0.2">
      <c r="A716" s="72"/>
      <c r="B716" s="73" t="s">
        <v>1488</v>
      </c>
      <c r="C716" s="71" t="s">
        <v>1489</v>
      </c>
      <c r="D716" s="73" t="s">
        <v>55</v>
      </c>
      <c r="E716" s="50" t="str">
        <f t="shared" si="22"/>
        <v>Химочкина Мария  Владимировна;6-19РМ079/2019;;№6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Владимировна;6-19РМ079/2019;;№6</v>
      </c>
    </row>
    <row r="717" spans="1:8" ht="16.149999999999999" customHeight="1" x14ac:dyDescent="0.2">
      <c r="A717" s="72"/>
      <c r="B717" s="73" t="s">
        <v>1490</v>
      </c>
      <c r="C717" s="71" t="s">
        <v>1491</v>
      </c>
      <c r="D717" s="73" t="s">
        <v>55</v>
      </c>
      <c r="E717" s="50" t="str">
        <f t="shared" si="22"/>
        <v>Шпичко Владимир  Дмитриевич;6-19РМ083/2019;;№6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Дмитриевич;6-19РМ083/2019;;№6</v>
      </c>
    </row>
    <row r="718" spans="1:8" ht="16.149999999999999" customHeight="1" x14ac:dyDescent="0.2">
      <c r="A718" s="72"/>
      <c r="B718" s="73" t="s">
        <v>1492</v>
      </c>
      <c r="C718" s="71" t="s">
        <v>1493</v>
      </c>
      <c r="D718" s="73" t="s">
        <v>55</v>
      </c>
      <c r="E718" s="50" t="str">
        <f t="shared" si="22"/>
        <v>Худобердин Никита Игоревич;6-19ММ104/2019;;№6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Игоревич;6-19ММ104/2019;;№6</v>
      </c>
    </row>
    <row r="719" spans="1:8" ht="16.149999999999999" customHeight="1" x14ac:dyDescent="0.2">
      <c r="A719" s="72"/>
      <c r="B719" s="73" t="s">
        <v>1494</v>
      </c>
      <c r="C719" s="71" t="s">
        <v>1495</v>
      </c>
      <c r="D719" s="73" t="s">
        <v>55</v>
      </c>
      <c r="E719" s="50" t="str">
        <f t="shared" si="22"/>
        <v>Авдейчиков Дмирий Андреевич;6-19ММ001/2019;;№6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Андреевич;6-19ММ001/2019;;№6</v>
      </c>
    </row>
    <row r="720" spans="1:8" ht="16.149999999999999" customHeight="1" x14ac:dyDescent="0.2">
      <c r="A720" s="72"/>
      <c r="B720" s="73" t="s">
        <v>1496</v>
      </c>
      <c r="C720" s="71" t="s">
        <v>1497</v>
      </c>
      <c r="D720" s="73" t="s">
        <v>55</v>
      </c>
      <c r="E720" s="50" t="str">
        <f t="shared" si="22"/>
        <v>Аносов Владислав Вячеславович;6-19ММ006/2019;;№6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Вячеславович;6-19ММ006/2019;;№6</v>
      </c>
    </row>
    <row r="721" spans="1:8" ht="16.149999999999999" customHeight="1" x14ac:dyDescent="0.2">
      <c r="A721" s="72"/>
      <c r="B721" s="73" t="s">
        <v>1498</v>
      </c>
      <c r="C721" s="71" t="s">
        <v>1499</v>
      </c>
      <c r="D721" s="73" t="s">
        <v>55</v>
      </c>
      <c r="E721" s="50" t="str">
        <f t="shared" si="22"/>
        <v>Спицына Мария Владимировна;6-19мм095/2019;;№6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Владимировна;6-19мм095/2019;;№6</v>
      </c>
    </row>
    <row r="722" spans="1:8" ht="16.149999999999999" customHeight="1" x14ac:dyDescent="0.2">
      <c r="A722" s="72"/>
      <c r="B722" s="73" t="s">
        <v>1500</v>
      </c>
      <c r="C722" s="71" t="s">
        <v>1501</v>
      </c>
      <c r="D722" s="73" t="s">
        <v>55</v>
      </c>
      <c r="E722" s="50" t="str">
        <f t="shared" si="22"/>
        <v>Самойлова Арина Сергеевна;6-19мм090/2019;;№6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Сергеевна;6-19мм090/2019;;№6</v>
      </c>
    </row>
    <row r="723" spans="1:8" ht="16.149999999999999" customHeight="1" x14ac:dyDescent="0.2">
      <c r="A723" s="72"/>
      <c r="B723" s="73" t="s">
        <v>1502</v>
      </c>
      <c r="C723" s="71" t="s">
        <v>1503</v>
      </c>
      <c r="D723" s="73" t="s">
        <v>55</v>
      </c>
      <c r="E723" s="50" t="str">
        <f t="shared" si="22"/>
        <v>Лушкин Дмитрий Сергеевич;6-19мм060/2019;;№6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Сергеевич;6-19мм060/2019;;№6</v>
      </c>
    </row>
    <row r="724" spans="1:8" ht="16.149999999999999" customHeight="1" x14ac:dyDescent="0.2">
      <c r="A724" s="72"/>
      <c r="B724" s="73" t="s">
        <v>1504</v>
      </c>
      <c r="C724" s="71" t="s">
        <v>1505</v>
      </c>
      <c r="D724" s="73" t="s">
        <v>55</v>
      </c>
      <c r="E724" s="50" t="str">
        <f t="shared" si="22"/>
        <v>Шаталин  Алексей Сергеевич;6-14М328/2019;;№6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Сергеевич;6-14М328/2019;;№6</v>
      </c>
    </row>
    <row r="725" spans="1:8" ht="16.149999999999999" customHeight="1" x14ac:dyDescent="0.2">
      <c r="A725" s="72"/>
      <c r="B725" s="73" t="s">
        <v>1506</v>
      </c>
      <c r="C725" s="71" t="s">
        <v>1507</v>
      </c>
      <c r="D725" s="73" t="s">
        <v>55</v>
      </c>
      <c r="E725" s="50" t="str">
        <f t="shared" si="22"/>
        <v>Иванов Егор Владимирович;6-19мм041/2019;;№6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Владимирович;6-19мм041/2019;;№6</v>
      </c>
    </row>
    <row r="726" spans="1:8" ht="16.149999999999999" customHeight="1" x14ac:dyDescent="0.2">
      <c r="A726" s="72"/>
      <c r="B726" s="73" t="s">
        <v>1508</v>
      </c>
      <c r="C726" s="71" t="s">
        <v>1509</v>
      </c>
      <c r="D726" s="73" t="s">
        <v>55</v>
      </c>
      <c r="E726" s="50" t="str">
        <f t="shared" si="22"/>
        <v>Лубянский Артем Олегович;6-19мм059/2019;;№6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Олегович;6-19мм059/2019;;№6</v>
      </c>
    </row>
    <row r="727" spans="1:8" ht="16.149999999999999" customHeight="1" x14ac:dyDescent="0.2">
      <c r="A727" s="72"/>
      <c r="B727" s="73" t="s">
        <v>1510</v>
      </c>
      <c r="C727" s="71" t="s">
        <v>1511</v>
      </c>
      <c r="D727" s="73" t="s">
        <v>55</v>
      </c>
      <c r="E727" s="50" t="str">
        <f t="shared" si="22"/>
        <v>Астахов Иван Сергеевич;6-17М046/2019;;№6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Сергеевич;6-17М046/2019;;№6</v>
      </c>
    </row>
    <row r="728" spans="1:8" ht="16.149999999999999" customHeight="1" x14ac:dyDescent="0.2">
      <c r="A728" s="72"/>
      <c r="B728" s="73" t="s">
        <v>1512</v>
      </c>
      <c r="C728" s="71" t="s">
        <v>1513</v>
      </c>
      <c r="D728" s="73" t="s">
        <v>55</v>
      </c>
      <c r="E728" s="50" t="str">
        <f t="shared" si="22"/>
        <v>Деева Маргарита Андреевна;6-19РМ009/2019;;№6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Деева Маргарита Андреевна;6-19РМ009/2019;;№6</v>
      </c>
    </row>
    <row r="729" spans="1:8" ht="16.149999999999999" customHeight="1" x14ac:dyDescent="0.2">
      <c r="A729" s="72"/>
      <c r="B729" s="73" t="s">
        <v>1514</v>
      </c>
      <c r="C729" s="71" t="s">
        <v>1515</v>
      </c>
      <c r="D729" s="73" t="s">
        <v>55</v>
      </c>
      <c r="E729" s="50" t="str">
        <f t="shared" si="22"/>
        <v>Власевский Владимир Николаевич;6-19РМ031/2019;;№6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Власевский Владимир Николаевич;6-19РМ031/2019;;№6</v>
      </c>
    </row>
    <row r="730" spans="1:8" ht="16.149999999999999" customHeight="1" x14ac:dyDescent="0.2">
      <c r="A730" s="72"/>
      <c r="B730" s="73" t="s">
        <v>1516</v>
      </c>
      <c r="C730" s="71" t="s">
        <v>1517</v>
      </c>
      <c r="D730" s="73" t="s">
        <v>55</v>
      </c>
      <c r="E730" s="50" t="str">
        <f t="shared" si="22"/>
        <v>Андрющенко Артур Павлович;6-17М239/2019;;№6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Андрющенко Артур Павлович;6-17М239/2019;;№6</v>
      </c>
    </row>
    <row r="731" spans="1:8" ht="16.149999999999999" customHeight="1" x14ac:dyDescent="0.2">
      <c r="A731" s="72"/>
      <c r="B731" s="73" t="s">
        <v>1518</v>
      </c>
      <c r="C731" s="71" t="s">
        <v>1519</v>
      </c>
      <c r="D731" s="73" t="s">
        <v>55</v>
      </c>
      <c r="E731" s="50" t="str">
        <f t="shared" si="22"/>
        <v>Нахушева Алёна Суфьяновна;6-19мм076/2019;;№6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Нахушева Алёна Суфьяновна;6-19мм076/2019;;№6</v>
      </c>
    </row>
    <row r="732" spans="1:8" ht="16.149999999999999" customHeight="1" x14ac:dyDescent="0.2">
      <c r="A732" s="72"/>
      <c r="B732" s="50" t="s">
        <v>1521</v>
      </c>
      <c r="C732" s="50" t="s">
        <v>1520</v>
      </c>
      <c r="D732" s="73" t="s">
        <v>55</v>
      </c>
      <c r="E732" s="50" t="str">
        <f t="shared" si="22"/>
        <v>Игнатов Павел Ильич;6-19ММ044/2019;;№6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Игнатов Павел Ильич;6-19ММ044/2019;;№6</v>
      </c>
    </row>
    <row r="733" spans="1:8" ht="16.149999999999999" customHeight="1" x14ac:dyDescent="0.2">
      <c r="A733" s="72"/>
      <c r="B733" s="73" t="s">
        <v>1522</v>
      </c>
      <c r="C733" s="71" t="s">
        <v>1523</v>
      </c>
      <c r="D733" s="73" t="s">
        <v>55</v>
      </c>
      <c r="E733" s="50" t="str">
        <f t="shared" si="22"/>
        <v>Леонова Елизавета Геннадьевна;6-19Ю010/2019;;№6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Леонова Елизавета Геннадьевна;6-19Ю010/2019;;№6</v>
      </c>
    </row>
    <row r="734" spans="1:8" ht="16.149999999999999" customHeight="1" x14ac:dyDescent="0.2">
      <c r="A734" s="72"/>
      <c r="B734" s="73" t="s">
        <v>1524</v>
      </c>
      <c r="C734" s="71" t="s">
        <v>1525</v>
      </c>
      <c r="D734" s="73" t="s">
        <v>55</v>
      </c>
      <c r="E734" s="50" t="str">
        <f t="shared" si="22"/>
        <v>Цзян Цзиньлун ;6-19ИР22/2019;;№6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Цзян Цзиньлун ;6-19ИР22/2019;;№6</v>
      </c>
    </row>
    <row r="735" spans="1:8" ht="16.149999999999999" customHeight="1" x14ac:dyDescent="0.2">
      <c r="A735" s="72"/>
      <c r="B735" s="73" t="s">
        <v>1526</v>
      </c>
      <c r="C735" s="71" t="s">
        <v>1527</v>
      </c>
      <c r="D735" s="73" t="s">
        <v>55</v>
      </c>
      <c r="E735" s="50" t="str">
        <f t="shared" si="22"/>
        <v>СУ Цзяци ;6-19ИР20/2019;;№6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СУ Цзяци ;6-19ИР20/2019;;№6</v>
      </c>
    </row>
    <row r="736" spans="1:8" ht="16.149999999999999" customHeight="1" x14ac:dyDescent="0.2">
      <c r="A736" s="72"/>
      <c r="B736" s="73" t="s">
        <v>1528</v>
      </c>
      <c r="C736" s="71" t="s">
        <v>1529</v>
      </c>
      <c r="D736" s="73" t="s">
        <v>55</v>
      </c>
      <c r="E736" s="50" t="str">
        <f t="shared" si="22"/>
        <v>Чжао Пэн ;6-19ИР21/2019;;№6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Чжао Пэн ;6-19ИР21/2019;;№6</v>
      </c>
    </row>
    <row r="737" spans="1:8" ht="16.149999999999999" customHeight="1" x14ac:dyDescent="0.2">
      <c r="A737" s="72"/>
      <c r="B737" s="73" t="s">
        <v>1530</v>
      </c>
      <c r="C737" s="71" t="s">
        <v>1531</v>
      </c>
      <c r="D737" s="73" t="s">
        <v>55</v>
      </c>
      <c r="E737" s="50" t="str">
        <f t="shared" si="22"/>
        <v>У Сивэй ;6-19ИР23/2019;;№6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У Сивэй ;6-19ИР23/2019;;№6</v>
      </c>
    </row>
    <row r="738" spans="1:8" ht="16.149999999999999" customHeight="1" x14ac:dyDescent="0.2">
      <c r="A738" s="72"/>
      <c r="B738" s="73" t="s">
        <v>1532</v>
      </c>
      <c r="C738" s="71" t="s">
        <v>1533</v>
      </c>
      <c r="D738" s="73" t="s">
        <v>55</v>
      </c>
      <c r="E738" s="50" t="str">
        <f t="shared" si="22"/>
        <v>Ван Тяньци ;6-19ИР24/2019;;№6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Ван Тяньци ;6-19ИР24/2019;;№6</v>
      </c>
    </row>
    <row r="739" spans="1:8" ht="16.149999999999999" customHeight="1" x14ac:dyDescent="0.2">
      <c r="A739" s="72"/>
      <c r="B739" s="73" t="s">
        <v>1534</v>
      </c>
      <c r="C739" s="71" t="s">
        <v>1535</v>
      </c>
      <c r="D739" s="73" t="s">
        <v>55</v>
      </c>
      <c r="E739" s="50" t="str">
        <f t="shared" si="22"/>
        <v>Ву Кыонг Тхинь;6-19ИР08/2019;;№6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Ву Кыонг Тхинь;6-19ИР08/2019;;№6</v>
      </c>
    </row>
    <row r="740" spans="1:8" ht="16.149999999999999" customHeight="1" x14ac:dyDescent="0.2">
      <c r="A740" s="72"/>
      <c r="B740" s="73" t="s">
        <v>1536</v>
      </c>
      <c r="C740" s="71" t="s">
        <v>1537</v>
      </c>
      <c r="D740" s="73" t="s">
        <v>55</v>
      </c>
      <c r="E740" s="50" t="str">
        <f t="shared" si="22"/>
        <v>Фам Минь  Кханг;6-19ИР10/2019;;№6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Фам Минь  Кханг;6-19ИР10/2019;;№6</v>
      </c>
    </row>
    <row r="741" spans="1:8" ht="16.149999999999999" customHeight="1" x14ac:dyDescent="0.2">
      <c r="A741" s="72"/>
      <c r="B741" s="73" t="s">
        <v>1538</v>
      </c>
      <c r="C741" s="71" t="s">
        <v>1539</v>
      </c>
      <c r="D741" s="73" t="s">
        <v>55</v>
      </c>
      <c r="E741" s="50" t="str">
        <f t="shared" si="22"/>
        <v>Гужва  Дмитрий Вадимович;6-19М618/2019;;№6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Гужва  Дмитрий Вадимович;6-19М618/2019;;№6</v>
      </c>
    </row>
    <row r="742" spans="1:8" ht="16.149999999999999" customHeight="1" x14ac:dyDescent="0.2">
      <c r="A742" s="72"/>
      <c r="B742" s="73" t="s">
        <v>1540</v>
      </c>
      <c r="C742" s="71" t="s">
        <v>1541</v>
      </c>
      <c r="D742" s="73" t="s">
        <v>55</v>
      </c>
      <c r="E742" s="50" t="str">
        <f t="shared" si="22"/>
        <v>Ковальчук Евгений Михайлович;6-19М616/2019;;№6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Ковальчук Евгений Михайлович;6-19М616/2019;;№6</v>
      </c>
    </row>
    <row r="743" spans="1:8" ht="16.149999999999999" customHeight="1" x14ac:dyDescent="0.2">
      <c r="A743" s="72"/>
      <c r="B743" s="73" t="s">
        <v>1542</v>
      </c>
      <c r="C743" s="71" t="s">
        <v>1543</v>
      </c>
      <c r="D743" s="73" t="s">
        <v>55</v>
      </c>
      <c r="E743" s="50" t="str">
        <f t="shared" si="22"/>
        <v>Михайлов Даниил Алексеевич;6-19М345/2019;;№6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Михайлов Даниил Алексеевич;6-19М345/2019;;№6</v>
      </c>
    </row>
    <row r="744" spans="1:8" ht="16.149999999999999" customHeight="1" x14ac:dyDescent="0.2">
      <c r="A744" s="72"/>
      <c r="B744" s="73" t="s">
        <v>1544</v>
      </c>
      <c r="C744" s="71" t="s">
        <v>1545</v>
      </c>
      <c r="D744" s="73" t="s">
        <v>55</v>
      </c>
      <c r="E744" s="50" t="str">
        <f t="shared" si="22"/>
        <v>Михайлов Илья Алексеевич;6-19М347/2019;;№6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Михайлов Илья Алексеевич;6-19М347/2019;;№6</v>
      </c>
    </row>
    <row r="745" spans="1:8" ht="16.149999999999999" customHeight="1" x14ac:dyDescent="0.2">
      <c r="A745" s="72"/>
      <c r="B745" s="73" t="s">
        <v>1546</v>
      </c>
      <c r="C745" s="71" t="s">
        <v>1547</v>
      </c>
      <c r="D745" s="73" t="s">
        <v>55</v>
      </c>
      <c r="E745" s="50" t="str">
        <f t="shared" si="22"/>
        <v>Яушев Рустем ;6-19РМ703/2019;;№6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Яушев Рустем ;6-19РМ703/2019;;№6</v>
      </c>
    </row>
    <row r="746" spans="1:8" ht="16.149999999999999" customHeight="1" x14ac:dyDescent="0.2">
      <c r="A746" s="72"/>
      <c r="B746" s="73" t="s">
        <v>1548</v>
      </c>
      <c r="C746" s="71" t="s">
        <v>1549</v>
      </c>
      <c r="D746" s="73" t="s">
        <v>55</v>
      </c>
      <c r="E746" s="50" t="str">
        <f t="shared" si="22"/>
        <v>Емельянова Екатерина Валерьевна;6-19Ю002/2019;;№6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Емельянова Екатерина Валерьевна;6-19Ю002/2019;;№6</v>
      </c>
    </row>
    <row r="747" spans="1:8" ht="16.149999999999999" customHeight="1" x14ac:dyDescent="0.2">
      <c r="A747" s="72"/>
      <c r="B747" s="73" t="s">
        <v>1550</v>
      </c>
      <c r="C747" s="71" t="s">
        <v>1551</v>
      </c>
      <c r="D747" s="73" t="s">
        <v>55</v>
      </c>
      <c r="E747" s="50" t="str">
        <f t="shared" si="22"/>
        <v>Кабрера Седеньо Марко Антони ;6-19ИМ10/2019;;№6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Кабрера Седеньо Марко Антони ;6-19ИМ10/2019;;№6</v>
      </c>
    </row>
    <row r="748" spans="1:8" ht="16.149999999999999" customHeight="1" x14ac:dyDescent="0.2">
      <c r="A748" s="72"/>
      <c r="B748" s="73" t="s">
        <v>1552</v>
      </c>
      <c r="C748" s="71" t="s">
        <v>1553</v>
      </c>
      <c r="D748" s="73" t="s">
        <v>55</v>
      </c>
      <c r="E748" s="50" t="str">
        <f t="shared" si="22"/>
        <v>Корнев Данил Александрович;6-17М328/2019;;№6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Корнев Данил Александрович;6-17М328/2019;;№6</v>
      </c>
    </row>
    <row r="749" spans="1:8" ht="16.149999999999999" customHeight="1" x14ac:dyDescent="0.2">
      <c r="A749" s="72"/>
      <c r="B749" s="50" t="s">
        <v>1555</v>
      </c>
      <c r="C749" s="71" t="s">
        <v>1554</v>
      </c>
      <c r="D749" s="73" t="s">
        <v>55</v>
      </c>
      <c r="E749" s="50" t="str">
        <f t="shared" si="22"/>
        <v>Гусакова Алевтина  Андреевна;6-15Ю114/2019;;№6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Гусакова Алевтина  Андреевна;6-15Ю114/2019;;№6</v>
      </c>
    </row>
    <row r="750" spans="1:8" ht="16.149999999999999" customHeight="1" x14ac:dyDescent="0.2">
      <c r="A750" s="72"/>
      <c r="B750" s="73" t="s">
        <v>1556</v>
      </c>
      <c r="C750" s="71" t="s">
        <v>1557</v>
      </c>
      <c r="D750" s="73" t="s">
        <v>55</v>
      </c>
      <c r="E750" s="50" t="str">
        <f t="shared" si="22"/>
        <v>Ботвинникова Анастасия Антоновна;6-18Р135/2019;;№6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Ботвинникова Анастасия Антоновна;6-18Р135/2019;;№6</v>
      </c>
    </row>
    <row r="751" spans="1:8" ht="16.149999999999999" customHeight="1" x14ac:dyDescent="0.2">
      <c r="A751" s="72"/>
      <c r="B751" s="73" t="s">
        <v>1558</v>
      </c>
      <c r="C751" s="71" t="s">
        <v>1559</v>
      </c>
      <c r="D751" s="73" t="s">
        <v>55</v>
      </c>
      <c r="E751" s="50" t="str">
        <f t="shared" si="22"/>
        <v>Норматов Музаффарджон Абдухоликович;6-19М621/2019;;№6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Норматов Музаффарджон Абдухоликович;6-19М621/2019;;№6</v>
      </c>
    </row>
    <row r="752" spans="1:8" ht="16.149999999999999" customHeight="1" x14ac:dyDescent="0.2">
      <c r="A752" s="72"/>
      <c r="B752" s="73" t="s">
        <v>1560</v>
      </c>
      <c r="C752" s="71" t="s">
        <v>1561</v>
      </c>
      <c r="D752" s="73" t="s">
        <v>55</v>
      </c>
      <c r="E752" s="50" t="str">
        <f t="shared" si="22"/>
        <v>Саилович Небойша ;6-19ИМ09/2019;;№6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Саилович Небойша ;6-19ИМ09/2019;;№6</v>
      </c>
    </row>
    <row r="753" spans="1:8" ht="16.149999999999999" customHeight="1" x14ac:dyDescent="0.2">
      <c r="A753" s="72"/>
      <c r="B753" s="73" t="s">
        <v>1562</v>
      </c>
      <c r="C753" s="71" t="s">
        <v>1563</v>
      </c>
      <c r="D753" s="73" t="s">
        <v>55</v>
      </c>
      <c r="E753" s="50" t="str">
        <f t="shared" si="22"/>
        <v>Пильяхо Корелья Борис Марсело;6-ECU-530319/2019;;№6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Пильяхо Корелья Борис Марсело;6-ECU-530319/2019;;№6</v>
      </c>
    </row>
    <row r="754" spans="1:8" ht="16.149999999999999" customHeight="1" x14ac:dyDescent="0.2">
      <c r="A754" s="72"/>
      <c r="B754" s="73" t="s">
        <v>1564</v>
      </c>
      <c r="C754" s="71" t="s">
        <v>1565</v>
      </c>
      <c r="D754" s="73" t="s">
        <v>55</v>
      </c>
      <c r="E754" s="50" t="str">
        <f t="shared" si="22"/>
        <v>Даукаев Руслан Ильнурович;6-16М294/2019;;№6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Даукаев Руслан Ильнурович;6-16М294/2019;;№6</v>
      </c>
    </row>
    <row r="755" spans="1:8" ht="16.149999999999999" customHeight="1" x14ac:dyDescent="0.2">
      <c r="A755" s="72"/>
      <c r="B755" s="73" t="s">
        <v>1567</v>
      </c>
      <c r="C755" s="71" t="s">
        <v>1568</v>
      </c>
      <c r="D755" s="73" t="s">
        <v>55</v>
      </c>
      <c r="E755" s="50" t="str">
        <f t="shared" si="22"/>
        <v>Чуносов Илья Сергеевич;6-19рм017/2019;;№6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Чуносов Илья Сергеевич;6-19рм017/2019;;№6</v>
      </c>
    </row>
    <row r="756" spans="1:8" ht="16.149999999999999" customHeight="1" x14ac:dyDescent="0.2">
      <c r="A756" s="72"/>
      <c r="B756" s="73" t="s">
        <v>1569</v>
      </c>
      <c r="C756" s="71" t="s">
        <v>1570</v>
      </c>
      <c r="D756" s="73" t="s">
        <v>55</v>
      </c>
      <c r="E756" s="50" t="str">
        <f t="shared" si="22"/>
        <v>Алёхина Арина Владимировна;6-15Р097/2019;;№6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Алёхина Арина Владимировна;6-15Р097/2019;;№6</v>
      </c>
    </row>
    <row r="757" spans="1:8" ht="16.149999999999999" customHeight="1" x14ac:dyDescent="0.2">
      <c r="A757" s="72"/>
      <c r="B757" s="73" t="s">
        <v>1571</v>
      </c>
      <c r="C757" s="71" t="s">
        <v>1572</v>
      </c>
      <c r="D757" s="73" t="s">
        <v>55</v>
      </c>
      <c r="E757" s="50" t="str">
        <f t="shared" si="22"/>
        <v>Бабаев Тимур Ильхомович;6-16М027/2019;;№6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Бабаев Тимур Ильхомович;6-16М027/2019;;№6</v>
      </c>
    </row>
    <row r="758" spans="1:8" ht="16.149999999999999" customHeight="1" x14ac:dyDescent="0.2">
      <c r="A758" s="72"/>
      <c r="B758" s="73" t="s">
        <v>1573</v>
      </c>
      <c r="C758" s="71" t="s">
        <v>1574</v>
      </c>
      <c r="D758" s="73" t="s">
        <v>55</v>
      </c>
      <c r="E758" s="50" t="str">
        <f t="shared" si="22"/>
        <v>Нгуен Лео Хоанг ;6-19ИР09/2019;;№6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Нгуен Лео Хоанг ;6-19ИР09/2019;;№6</v>
      </c>
    </row>
    <row r="759" spans="1:8" ht="16.149999999999999" customHeight="1" x14ac:dyDescent="0.2">
      <c r="A759" s="72"/>
      <c r="B759" s="73" t="s">
        <v>1575</v>
      </c>
      <c r="C759" s="71" t="s">
        <v>1576</v>
      </c>
      <c r="D759" s="73" t="s">
        <v>55</v>
      </c>
      <c r="E759" s="50" t="str">
        <f t="shared" si="22"/>
        <v>Новачлы Иван ;6-19РМ702/2019;;№6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Новачлы Иван ;6-19РМ702/2019;;№6</v>
      </c>
    </row>
    <row r="760" spans="1:8" ht="16.149999999999999" customHeight="1" x14ac:dyDescent="0.2">
      <c r="A760" s="72"/>
      <c r="B760" s="73" t="s">
        <v>1577</v>
      </c>
      <c r="C760" s="71" t="s">
        <v>1578</v>
      </c>
      <c r="D760" s="73" t="s">
        <v>55</v>
      </c>
      <c r="E760" s="50" t="str">
        <f t="shared" si="22"/>
        <v>Пильяхо Корелья Борис Марсело ;6-19ИР134/2019;;№6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Пильяхо Корелья Борис Марсело ;6-19ИР134/2019;;№6</v>
      </c>
    </row>
    <row r="761" spans="1:8" ht="16.149999999999999" customHeight="1" x14ac:dyDescent="0.2">
      <c r="A761" s="72"/>
      <c r="B761" s="73" t="s">
        <v>1579</v>
      </c>
      <c r="C761" s="71" t="s">
        <v>1580</v>
      </c>
      <c r="D761" s="73" t="s">
        <v>55</v>
      </c>
      <c r="E761" s="50" t="str">
        <f t="shared" si="22"/>
        <v>Щурко Кристиан ;6-19Р602/2019;;№6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Щурко Кристиан ;6-19Р602/2019;;№6</v>
      </c>
    </row>
    <row r="762" spans="1:8" ht="16.149999999999999" customHeight="1" x14ac:dyDescent="0.2">
      <c r="A762" s="72"/>
      <c r="B762" s="73" t="s">
        <v>1581</v>
      </c>
      <c r="C762" s="71" t="s">
        <v>1582</v>
      </c>
      <c r="D762" s="73" t="s">
        <v>55</v>
      </c>
      <c r="E762" s="50" t="str">
        <f t="shared" si="22"/>
        <v>Панагодаге Ачита Бодака ;6-19ИМ08/2019;;№6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Панагодаге Ачита Бодака ;6-19ИМ08/2019;;№6</v>
      </c>
    </row>
    <row r="763" spans="1:8" ht="16.149999999999999" customHeight="1" x14ac:dyDescent="0.2">
      <c r="A763" s="72"/>
      <c r="B763" s="73" t="s">
        <v>1583</v>
      </c>
      <c r="C763" s="71" t="s">
        <v>1584</v>
      </c>
      <c r="D763" s="73" t="s">
        <v>55</v>
      </c>
      <c r="E763" s="50" t="str">
        <f t="shared" si="22"/>
        <v>Симунью Эльвина Рувимбо ;6-19ИР11/2019;;№6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Симунью Эльвина Рувимбо ;6-19ИР11/2019;;№6</v>
      </c>
    </row>
    <row r="764" spans="1:8" ht="16.149999999999999" customHeight="1" x14ac:dyDescent="0.2">
      <c r="A764" s="72"/>
      <c r="B764" s="73" t="s">
        <v>1585</v>
      </c>
      <c r="C764" s="71" t="s">
        <v>1586</v>
      </c>
      <c r="D764" s="73" t="s">
        <v>55</v>
      </c>
      <c r="E764" s="50" t="str">
        <f t="shared" si="22"/>
        <v>Фунду Кимбатса Берия Префна ;6-19ИР136/2019;;№6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Фунду Кимбатса Берия Префна ;6-19ИР136/2019;;№6</v>
      </c>
    </row>
    <row r="765" spans="1:8" ht="16.149999999999999" customHeight="1" x14ac:dyDescent="0.2">
      <c r="A765" s="72"/>
      <c r="B765" s="73" t="s">
        <v>1587</v>
      </c>
      <c r="C765" s="71" t="s">
        <v>1588</v>
      </c>
      <c r="D765" s="73" t="s">
        <v>55</v>
      </c>
      <c r="E765" s="50" t="str">
        <f t="shared" si="22"/>
        <v>Нгуен Ван Нят Хью ;6-19ИР02/2019;;№6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Нгуен Ван Нят Хью ;6-19ИР02/2019;;№6</v>
      </c>
    </row>
    <row r="766" spans="1:8" ht="16.149999999999999" customHeight="1" x14ac:dyDescent="0.2">
      <c r="A766" s="72"/>
      <c r="B766" s="73" t="s">
        <v>1589</v>
      </c>
      <c r="C766" s="71" t="s">
        <v>1590</v>
      </c>
      <c r="D766" s="73" t="s">
        <v>55</v>
      </c>
      <c r="E766" s="50" t="str">
        <f t="shared" si="22"/>
        <v>Богданов Артем ;6-19Р601/2019;;№6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Богданов Артем ;6-19Р601/2019;;№6</v>
      </c>
    </row>
    <row r="767" spans="1:8" ht="16.149999999999999" customHeight="1" x14ac:dyDescent="0.2">
      <c r="A767" s="72"/>
      <c r="B767" s="73" t="s">
        <v>1591</v>
      </c>
      <c r="C767" s="71" t="s">
        <v>1592</v>
      </c>
      <c r="D767" s="73" t="s">
        <v>55</v>
      </c>
      <c r="E767" s="50" t="str">
        <f t="shared" si="22"/>
        <v>Джонак Мохаммад Шах Джалал Уддин ;6-19ИМ12/2019;;№6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Джонак Мохаммад Шах Джалал Уддин ;6-19ИМ12/2019;;№6</v>
      </c>
    </row>
    <row r="768" spans="1:8" ht="16.149999999999999" customHeight="1" x14ac:dyDescent="0.2">
      <c r="A768" s="72"/>
      <c r="B768" s="73" t="s">
        <v>1593</v>
      </c>
      <c r="C768" s="71" t="s">
        <v>1594</v>
      </c>
      <c r="D768" s="73" t="s">
        <v>55</v>
      </c>
      <c r="E768" s="50" t="str">
        <f t="shared" si="22"/>
        <v>Ци  Синь ;6-19ИР07/2019;;№6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Ци  Синь ;6-19ИР07/2019;;№6</v>
      </c>
    </row>
    <row r="769" spans="1:8" ht="16.149999999999999" customHeight="1" x14ac:dyDescent="0.2">
      <c r="A769" s="72"/>
      <c r="B769" s="73" t="s">
        <v>1595</v>
      </c>
      <c r="C769" s="71" t="s">
        <v>1596</v>
      </c>
      <c r="D769" s="73" t="s">
        <v>55</v>
      </c>
      <c r="E769" s="50" t="str">
        <f t="shared" ref="E769:E832" si="24">LEFT(C769,IF(ISERROR(FIND(":",C769))=TRUE,LEN(C769),FIND(":",C769)-1)) &amp; ";" &amp; B769 &amp; ";" &amp; A769 &amp; ";" &amp;D769</f>
        <v>Исмоилов Дилшоджон ;6-19У955/2019;;№6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Исмоилов Дилшоджон ;6-19У955/2019;;№6</v>
      </c>
    </row>
    <row r="770" spans="1:8" ht="16.149999999999999" customHeight="1" x14ac:dyDescent="0.2">
      <c r="A770" s="72"/>
      <c r="B770" s="73" t="s">
        <v>1597</v>
      </c>
      <c r="C770" s="71" t="s">
        <v>1598</v>
      </c>
      <c r="D770" s="73" t="s">
        <v>55</v>
      </c>
      <c r="E770" s="50" t="str">
        <f t="shared" si="24"/>
        <v>Чэнь Пэн ;6-19ИР06/2019;;№6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Чэнь Пэн ;6-19ИР06/2019;;№6</v>
      </c>
    </row>
    <row r="771" spans="1:8" ht="16.149999999999999" customHeight="1" x14ac:dyDescent="0.2">
      <c r="A771" s="72"/>
      <c r="B771" s="73" t="s">
        <v>1599</v>
      </c>
      <c r="C771" s="71" t="s">
        <v>1600</v>
      </c>
      <c r="D771" s="73" t="s">
        <v>55</v>
      </c>
      <c r="E771" s="50" t="str">
        <f t="shared" si="24"/>
        <v>Тянь Шинцзе ;6-19ИР01/2019;;№6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Тянь Шинцзе ;6-19ИР01/2019;;№6</v>
      </c>
    </row>
    <row r="772" spans="1:8" ht="16.149999999999999" customHeight="1" x14ac:dyDescent="0.2">
      <c r="A772" s="72"/>
      <c r="B772" s="73" t="s">
        <v>1601</v>
      </c>
      <c r="C772" s="71" t="s">
        <v>1602</v>
      </c>
      <c r="D772" s="73" t="s">
        <v>55</v>
      </c>
      <c r="E772" s="50" t="str">
        <f t="shared" si="24"/>
        <v>Сюй Хунтао ;6-19ИР03/2019;;№6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Сюй Хунтао ;6-19ИР03/2019;;№6</v>
      </c>
    </row>
    <row r="773" spans="1:8" ht="16.149999999999999" customHeight="1" x14ac:dyDescent="0.2">
      <c r="A773" s="72"/>
      <c r="B773" s="73" t="s">
        <v>1603</v>
      </c>
      <c r="C773" s="71" t="s">
        <v>1604</v>
      </c>
      <c r="D773" s="73" t="s">
        <v>55</v>
      </c>
      <c r="E773" s="50" t="str">
        <f t="shared" si="24"/>
        <v>У  Тинвэй ;6-19ИР04/2019;;№6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У  Тинвэй ;6-19ИР04/2019;;№6</v>
      </c>
    </row>
    <row r="774" spans="1:8" ht="16.149999999999999" customHeight="1" x14ac:dyDescent="0.2">
      <c r="A774" s="72"/>
      <c r="B774" s="73" t="s">
        <v>1605</v>
      </c>
      <c r="C774" s="71" t="s">
        <v>1606</v>
      </c>
      <c r="D774" s="73" t="s">
        <v>55</v>
      </c>
      <c r="E774" s="50" t="str">
        <f t="shared" si="24"/>
        <v>Шэн  Сюй ;6-19ИР05/2019;;№6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Шэн  Сюй ;6-19ИР05/2019;;№6</v>
      </c>
    </row>
    <row r="775" spans="1:8" ht="16.149999999999999" customHeight="1" x14ac:dyDescent="0.2">
      <c r="A775" s="72"/>
      <c r="B775" s="73" t="s">
        <v>1607</v>
      </c>
      <c r="C775" s="71" t="s">
        <v>1608</v>
      </c>
      <c r="D775" s="73" t="s">
        <v>55</v>
      </c>
      <c r="E775" s="50" t="str">
        <f t="shared" si="24"/>
        <v>Кичибеков Шамиль Вагиф оглы;6-19РМ701/2019;;№6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Кичибеков Шамиль Вагиф оглы;6-19РМ701/2019;;№6</v>
      </c>
    </row>
    <row r="776" spans="1:8" ht="16.149999999999999" customHeight="1" x14ac:dyDescent="0.2">
      <c r="A776" s="72"/>
      <c r="B776" s="73" t="s">
        <v>1609</v>
      </c>
      <c r="C776" s="71" t="s">
        <v>1610</v>
      </c>
      <c r="D776" s="73" t="s">
        <v>55</v>
      </c>
      <c r="E776" s="50" t="str">
        <f t="shared" si="24"/>
        <v>Кожевников Дмитрий Евгеньевич;6-16Р224/2019;;№6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Кожевников Дмитрий Евгеньевич;6-16Р224/2019;;№6</v>
      </c>
    </row>
    <row r="777" spans="1:8" ht="16.149999999999999" customHeight="1" x14ac:dyDescent="0.2">
      <c r="A777" s="72"/>
      <c r="B777" s="73" t="s">
        <v>1579</v>
      </c>
      <c r="C777" s="71" t="s">
        <v>1611</v>
      </c>
      <c r="D777" s="73" t="s">
        <v>55</v>
      </c>
      <c r="E777" s="50" t="str">
        <f t="shared" si="24"/>
        <v>Лисицына Анастасия Эдуардовна;6-19Р602/2019;;№6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Лисицына Анастасия Эдуардовна;6-19Р602/2019;;№6</v>
      </c>
    </row>
    <row r="778" spans="1:8" ht="16.149999999999999" customHeight="1" x14ac:dyDescent="0.2">
      <c r="A778" s="72"/>
      <c r="B778" s="73" t="s">
        <v>1579</v>
      </c>
      <c r="C778" s="71" t="s">
        <v>1612</v>
      </c>
      <c r="D778" s="73" t="s">
        <v>55</v>
      </c>
      <c r="E778" s="50" t="str">
        <f t="shared" si="24"/>
        <v>Бардашов Артем Александрович;6-19Р602/2019;;№6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Бардашов Артем Александрович;6-19Р602/2019;;№6</v>
      </c>
    </row>
    <row r="779" spans="1:8" ht="16.149999999999999" customHeight="1" x14ac:dyDescent="0.2">
      <c r="A779" s="72"/>
      <c r="B779" s="73" t="s">
        <v>1614</v>
      </c>
      <c r="C779" s="71" t="s">
        <v>1615</v>
      </c>
      <c r="D779" s="73" t="s">
        <v>55</v>
      </c>
      <c r="E779" s="50" t="str">
        <f t="shared" si="24"/>
        <v>Донцова Дарья Васильевна;6-19Т438/2019;;№6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Донцова Дарья Васильевна;6-19Т438/2019;;№6</v>
      </c>
    </row>
    <row r="780" spans="1:8" ht="16.149999999999999" customHeight="1" x14ac:dyDescent="0.2">
      <c r="A780" s="72"/>
      <c r="B780" s="73" t="s">
        <v>1616</v>
      </c>
      <c r="C780" s="71" t="s">
        <v>1617</v>
      </c>
      <c r="D780" s="73" t="s">
        <v>55</v>
      </c>
      <c r="E780" s="50" t="str">
        <f t="shared" si="24"/>
        <v>Ганиева Элина Айдаровна;6-15Ю051/2019;;№6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Ганиева Элина Айдаровна;6-15Ю051/2019;;№6</v>
      </c>
    </row>
    <row r="781" spans="1:8" ht="16.149999999999999" customHeight="1" x14ac:dyDescent="0.2">
      <c r="A781" s="72"/>
      <c r="B781" s="73" t="s">
        <v>1618</v>
      </c>
      <c r="C781" s="71" t="s">
        <v>1619</v>
      </c>
      <c r="D781" s="73" t="s">
        <v>55</v>
      </c>
      <c r="E781" s="50" t="str">
        <f t="shared" si="24"/>
        <v>Крехтунова Дарья Дмитриевна;6-18Р179/2019;;№6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Крехтунова Дарья Дмитриевна;6-18Р179/2019;;№6</v>
      </c>
    </row>
    <row r="782" spans="1:8" ht="16.149999999999999" customHeight="1" x14ac:dyDescent="0.2">
      <c r="A782" s="72"/>
      <c r="B782" s="73" t="s">
        <v>1620</v>
      </c>
      <c r="C782" s="71" t="s">
        <v>1621</v>
      </c>
      <c r="D782" s="73" t="s">
        <v>55</v>
      </c>
      <c r="E782" s="50" t="str">
        <f t="shared" si="24"/>
        <v>Надоров Иван Васильевич;6-16М379/2019;;№6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Надоров Иван Васильевич;6-16М379/2019;;№6</v>
      </c>
    </row>
    <row r="783" spans="1:8" ht="16.149999999999999" customHeight="1" x14ac:dyDescent="0.2">
      <c r="A783" s="72"/>
      <c r="B783" s="73" t="s">
        <v>1622</v>
      </c>
      <c r="C783" s="71" t="s">
        <v>1623</v>
      </c>
      <c r="D783" s="73" t="s">
        <v>55</v>
      </c>
      <c r="E783" s="50" t="str">
        <f t="shared" si="24"/>
        <v>Рудь Дмитрий Вячеславович;6-17М164/2019;;№6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Рудь Дмитрий Вячеславович;6-17М164/2019;;№6</v>
      </c>
    </row>
    <row r="784" spans="1:8" ht="16.149999999999999" customHeight="1" x14ac:dyDescent="0.2">
      <c r="A784" s="72"/>
      <c r="B784" s="73" t="s">
        <v>1624</v>
      </c>
      <c r="C784" s="71" t="s">
        <v>1625</v>
      </c>
      <c r="D784" s="73" t="s">
        <v>55</v>
      </c>
      <c r="E784" s="50" t="str">
        <f t="shared" si="24"/>
        <v>Торгомян Давит Артаваздович;6-18М621/2019;;№6</v>
      </c>
      <c r="F784" s="50" t="b">
        <f t="shared" si="25"/>
        <v>1</v>
      </c>
      <c r="G784" s="50">
        <f>IF($F784,COUNTIF($F$1:$F784,TRUE),"")</f>
        <v>784</v>
      </c>
      <c r="H784" s="50" t="str">
        <f>IFERROR(INDEX(NameStudent,MATCH(ROWS($H$1:$H784),Index,0)),"")</f>
        <v>Торгомян Давит Артаваздович;6-18М621/2019;;№6</v>
      </c>
    </row>
    <row r="785" spans="1:8" ht="16.149999999999999" customHeight="1" x14ac:dyDescent="0.2">
      <c r="A785" s="72"/>
      <c r="B785" s="73" t="s">
        <v>1626</v>
      </c>
      <c r="C785" s="71" t="s">
        <v>1627</v>
      </c>
      <c r="D785" s="73" t="s">
        <v>55</v>
      </c>
      <c r="E785" s="50" t="str">
        <f t="shared" si="24"/>
        <v>Салманов Равил Эвристович;6-19М105/2019;;№6</v>
      </c>
      <c r="F785" s="50" t="b">
        <f t="shared" si="25"/>
        <v>1</v>
      </c>
      <c r="G785" s="50">
        <f>IF($F785,COUNTIF($F$1:$F785,TRUE),"")</f>
        <v>785</v>
      </c>
      <c r="H785" s="50" t="str">
        <f>IFERROR(INDEX(NameStudent,MATCH(ROWS($H$1:$H785),Index,0)),"")</f>
        <v>Салманов Равил Эвристович;6-19М105/2019;;№6</v>
      </c>
    </row>
    <row r="786" spans="1:8" ht="16.149999999999999" customHeight="1" x14ac:dyDescent="0.2">
      <c r="A786" s="72"/>
      <c r="B786" s="73" t="s">
        <v>1628</v>
      </c>
      <c r="C786" s="71" t="s">
        <v>1629</v>
      </c>
      <c r="D786" s="73" t="s">
        <v>55</v>
      </c>
      <c r="E786" s="50" t="str">
        <f t="shared" si="24"/>
        <v>Парахин Егор Олегович;6-19М382/2019;;№6</v>
      </c>
      <c r="F786" s="50" t="b">
        <f t="shared" si="25"/>
        <v>1</v>
      </c>
      <c r="G786" s="50">
        <f>IF($F786,COUNTIF($F$1:$F786,TRUE),"")</f>
        <v>786</v>
      </c>
      <c r="H786" s="50" t="str">
        <f>IFERROR(INDEX(NameStudent,MATCH(ROWS($H$1:$H786),Index,0)),"")</f>
        <v>Парахин Егор Олегович;6-19М382/2019;;№6</v>
      </c>
    </row>
    <row r="787" spans="1:8" ht="16.149999999999999" customHeight="1" x14ac:dyDescent="0.2">
      <c r="A787" s="72"/>
      <c r="B787" s="73" t="s">
        <v>1630</v>
      </c>
      <c r="C787" s="71" t="s">
        <v>1631</v>
      </c>
      <c r="D787" s="73" t="s">
        <v>55</v>
      </c>
      <c r="E787" s="50" t="str">
        <f t="shared" si="24"/>
        <v>Шумейко Никита Сергеевич;6-16М213/2019;;№6</v>
      </c>
      <c r="F787" s="50" t="b">
        <f t="shared" si="25"/>
        <v>1</v>
      </c>
      <c r="G787" s="50">
        <f>IF($F787,COUNTIF($F$1:$F787,TRUE),"")</f>
        <v>787</v>
      </c>
      <c r="H787" s="50" t="str">
        <f>IFERROR(INDEX(NameStudent,MATCH(ROWS($H$1:$H787),Index,0)),"")</f>
        <v>Шумейко Никита Сергеевич;6-16М213/2019;;№6</v>
      </c>
    </row>
    <row r="788" spans="1:8" ht="16.149999999999999" customHeight="1" x14ac:dyDescent="0.2">
      <c r="A788" s="72"/>
      <c r="B788" s="73" t="s">
        <v>1632</v>
      </c>
      <c r="C788" s="71" t="s">
        <v>1633</v>
      </c>
      <c r="D788" s="73" t="s">
        <v>55</v>
      </c>
      <c r="E788" s="50" t="str">
        <f t="shared" si="24"/>
        <v>Долгов  Александр Евгеньевич;6-16М300/2019;;№6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Долгов  Александр Евгеньевич;6-16М300/2019;;№6</v>
      </c>
    </row>
    <row r="789" spans="1:8" ht="16.149999999999999" customHeight="1" x14ac:dyDescent="0.2">
      <c r="A789" s="72"/>
      <c r="B789" s="73" t="s">
        <v>1246</v>
      </c>
      <c r="C789" s="71" t="s">
        <v>1247</v>
      </c>
      <c r="D789" s="73" t="s">
        <v>55</v>
      </c>
      <c r="E789" s="50" t="str">
        <f>LEFT(C789,IF(ISERROR(FIND(":",C789))=TRUE,LEN(C789),FIND(":",C789)-1)) &amp; ";" &amp; B789 &amp; ";" &amp; A789 &amp; ";" &amp;D789</f>
        <v>Домнина Ольга Александровна;6-19Р043/2019;;№6</v>
      </c>
      <c r="F789" s="50" t="b">
        <f t="shared" ref="F789" si="26">NOT(ISERROR(SEARCH(Student,$E789)))</f>
        <v>1</v>
      </c>
      <c r="G789" s="50">
        <f>IF($F789,COUNTIF($F$1:$F789,TRUE),"")</f>
        <v>789</v>
      </c>
      <c r="H789" s="50" t="str">
        <f>IFERROR(INDEX(NameStudent,MATCH(ROWS($H$1:$H789),Index,0)),"")</f>
        <v>Домнина Ольга Александровна;6-19Р043/2019;;№6</v>
      </c>
    </row>
    <row r="790" spans="1:8" ht="16.149999999999999" customHeight="1" x14ac:dyDescent="0.2">
      <c r="A790" s="72"/>
      <c r="B790" s="73" t="s">
        <v>1634</v>
      </c>
      <c r="C790" s="71" t="s">
        <v>1329</v>
      </c>
      <c r="D790" s="73" t="s">
        <v>55</v>
      </c>
      <c r="E790" s="50" t="str">
        <f t="shared" ref="E790:E791" si="27">LEFT(C790,IF(ISERROR(FIND(":",C790))=TRUE,LEN(C790),FIND(":",C790)-1)) &amp; ";" &amp; B790 &amp; ";" &amp; A790 &amp; ";" &amp;D790</f>
        <v>Максимова Елизавета Геннадьевна;Э-19Р121/2019;;№6</v>
      </c>
      <c r="F790" s="50" t="b">
        <f t="shared" ref="F790" si="28">NOT(ISERROR(SEARCH(Student,$E790)))</f>
        <v>1</v>
      </c>
      <c r="G790" s="50">
        <f>IF($F790,COUNTIF($F$1:$F790,TRUE),"")</f>
        <v>790</v>
      </c>
      <c r="H790" s="50" t="str">
        <f>IFERROR(INDEX(NameStudent,MATCH(ROWS($H$1:$H790),Index,0)),"")</f>
        <v>Максимова Елизавета Геннадьевна;Э-19Р121/2019;;№6</v>
      </c>
    </row>
    <row r="791" spans="1:8" ht="16.149999999999999" customHeight="1" x14ac:dyDescent="0.2">
      <c r="A791" s="72"/>
      <c r="B791" s="73" t="s">
        <v>1635</v>
      </c>
      <c r="C791" s="71" t="s">
        <v>1351</v>
      </c>
      <c r="D791" s="73" t="s">
        <v>55</v>
      </c>
      <c r="E791" s="50" t="str">
        <f t="shared" si="27"/>
        <v>Никуленкова Олеся Вячеславовна;Э-19Р062/2019;;№6</v>
      </c>
      <c r="F791" s="50" t="b">
        <f t="shared" ref="F791" si="29">NOT(ISERROR(SEARCH(Student,$E791)))</f>
        <v>1</v>
      </c>
      <c r="G791" s="50">
        <f>IF($F791,COUNTIF($F$1:$F791,TRUE),"")</f>
        <v>791</v>
      </c>
      <c r="H791" s="50" t="str">
        <f>IFERROR(INDEX(NameStudent,MATCH(ROWS($H$1:$H791),Index,0)),"")</f>
        <v>Никуленкова Олеся Вячеславовна;Э-19Р062/2019;;№6</v>
      </c>
    </row>
    <row r="792" spans="1:8" ht="16.149999999999999" customHeight="1" x14ac:dyDescent="0.2">
      <c r="A792" s="72"/>
      <c r="B792" s="73" t="s">
        <v>1635</v>
      </c>
      <c r="C792" s="71" t="s">
        <v>1636</v>
      </c>
      <c r="D792" s="73" t="s">
        <v>55</v>
      </c>
      <c r="E792" s="50" t="str">
        <f t="shared" si="24"/>
        <v>Пупкин  Максим Шмарович;Э-19Р062/2019;;№6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Пупкин  Максим Шмарович;Э-19Р062/2019;;№6</v>
      </c>
    </row>
    <row r="793" spans="1:8" ht="16.149999999999999" customHeight="1" x14ac:dyDescent="0.2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ref="E833:E835" si="30">LEFT(C833,IF(ISERROR(FIND(":",C833))=TRUE,LEN(C833),FIND(":",C833)-1)) &amp; ";" &amp; B833 &amp; ";" &amp; A833 &amp; ";" &amp;D833</f>
        <v>;;;</v>
      </c>
      <c r="F833" s="50" t="b">
        <f t="shared" ref="F833:F896" si="31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30"/>
        <v>;;;</v>
      </c>
      <c r="F834" s="50" t="b">
        <f t="shared" si="31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30"/>
        <v>;;;</v>
      </c>
      <c r="F835" s="50" t="b">
        <f t="shared" si="31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F836" s="50" t="b">
        <f t="shared" si="31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149999999999999" customHeight="1" x14ac:dyDescent="0.2">
      <c r="A837" s="61"/>
      <c r="B837" s="62"/>
      <c r="C837" s="60"/>
      <c r="D837" s="62"/>
      <c r="F837" s="50" t="b">
        <f t="shared" si="31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149999999999999" customHeight="1" x14ac:dyDescent="0.2">
      <c r="A838" s="61"/>
      <c r="B838" s="62"/>
      <c r="C838" s="60"/>
      <c r="D838" s="62"/>
      <c r="F838" s="50" t="b">
        <f t="shared" si="31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149999999999999" customHeight="1" x14ac:dyDescent="0.2">
      <c r="A839" s="61"/>
      <c r="B839" s="62"/>
      <c r="C839" s="60"/>
      <c r="D839" s="62"/>
      <c r="F839" s="50" t="b">
        <f t="shared" si="31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149999999999999" customHeight="1" x14ac:dyDescent="0.2">
      <c r="A840" s="61"/>
      <c r="B840" s="62"/>
      <c r="C840" s="60"/>
      <c r="D840" s="62"/>
      <c r="F840" s="50" t="b">
        <f t="shared" si="31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149999999999999" customHeight="1" x14ac:dyDescent="0.2">
      <c r="A841" s="61"/>
      <c r="B841" s="62"/>
      <c r="C841" s="60"/>
      <c r="D841" s="62"/>
      <c r="F841" s="50" t="b">
        <f t="shared" si="31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149999999999999" customHeight="1" x14ac:dyDescent="0.2">
      <c r="A842" s="61"/>
      <c r="B842" s="62"/>
      <c r="C842" s="60"/>
      <c r="D842" s="62"/>
      <c r="F842" s="50" t="b">
        <f t="shared" si="31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149999999999999" customHeight="1" x14ac:dyDescent="0.2">
      <c r="A843" s="61"/>
      <c r="B843" s="62"/>
      <c r="C843" s="60"/>
      <c r="D843" s="62"/>
      <c r="F843" s="50" t="b">
        <f t="shared" si="31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149999999999999" customHeight="1" x14ac:dyDescent="0.2">
      <c r="A844" s="61"/>
      <c r="B844" s="62"/>
      <c r="C844" s="60"/>
      <c r="D844" s="62"/>
      <c r="F844" s="50" t="b">
        <f t="shared" si="31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149999999999999" customHeight="1" x14ac:dyDescent="0.2">
      <c r="A845" s="61"/>
      <c r="B845" s="62"/>
      <c r="C845" s="60"/>
      <c r="D845" s="62"/>
      <c r="F845" s="50" t="b">
        <f t="shared" si="31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149999999999999" customHeight="1" x14ac:dyDescent="0.2">
      <c r="A846" s="61"/>
      <c r="B846" s="62"/>
      <c r="C846" s="60"/>
      <c r="D846" s="62"/>
      <c r="F846" s="50" t="b">
        <f t="shared" si="31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149999999999999" customHeight="1" x14ac:dyDescent="0.2">
      <c r="A847" s="61"/>
      <c r="B847" s="62"/>
      <c r="C847" s="60"/>
      <c r="D847" s="62"/>
      <c r="F847" s="50" t="b">
        <f t="shared" si="31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149999999999999" customHeight="1" x14ac:dyDescent="0.2">
      <c r="A848" s="61"/>
      <c r="B848" s="62"/>
      <c r="C848" s="60"/>
      <c r="D848" s="62"/>
      <c r="F848" s="50" t="b">
        <f t="shared" si="31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149999999999999" customHeight="1" x14ac:dyDescent="0.2">
      <c r="A849" s="61"/>
      <c r="B849" s="62"/>
      <c r="C849" s="60"/>
      <c r="D849" s="62"/>
      <c r="F849" s="50" t="b">
        <f t="shared" si="31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149999999999999" customHeight="1" x14ac:dyDescent="0.2">
      <c r="A850" s="61"/>
      <c r="B850" s="62"/>
      <c r="C850" s="60"/>
      <c r="D850" s="62"/>
      <c r="F850" s="50" t="b">
        <f t="shared" si="31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149999999999999" customHeight="1" x14ac:dyDescent="0.2">
      <c r="A851" s="61"/>
      <c r="B851" s="62"/>
      <c r="C851" s="60"/>
      <c r="D851" s="62"/>
      <c r="F851" s="50" t="b">
        <f t="shared" si="31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149999999999999" customHeight="1" x14ac:dyDescent="0.2">
      <c r="A852" s="61"/>
      <c r="B852" s="62"/>
      <c r="C852" s="60"/>
      <c r="D852" s="62"/>
      <c r="F852" s="50" t="b">
        <f t="shared" si="31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149999999999999" customHeight="1" x14ac:dyDescent="0.2">
      <c r="A853" s="61"/>
      <c r="B853" s="62"/>
      <c r="C853" s="60"/>
      <c r="D853" s="62"/>
      <c r="F853" s="50" t="b">
        <f t="shared" si="31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149999999999999" customHeight="1" x14ac:dyDescent="0.2">
      <c r="A854" s="61"/>
      <c r="B854" s="62"/>
      <c r="C854" s="60"/>
      <c r="D854" s="62"/>
      <c r="F854" s="50" t="b">
        <f t="shared" si="31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149999999999999" customHeight="1" x14ac:dyDescent="0.2">
      <c r="A855" s="61"/>
      <c r="B855" s="62"/>
      <c r="C855" s="60"/>
      <c r="D855" s="62"/>
      <c r="F855" s="50" t="b">
        <f t="shared" si="31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149999999999999" customHeight="1" x14ac:dyDescent="0.2">
      <c r="A856" s="61"/>
      <c r="B856" s="62"/>
      <c r="C856" s="60"/>
      <c r="D856" s="62"/>
      <c r="F856" s="50" t="b">
        <f t="shared" si="31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149999999999999" customHeight="1" x14ac:dyDescent="0.2">
      <c r="A857" s="61"/>
      <c r="B857" s="62"/>
      <c r="C857" s="60"/>
      <c r="D857" s="62"/>
      <c r="F857" s="50" t="b">
        <f t="shared" si="31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149999999999999" customHeight="1" x14ac:dyDescent="0.2">
      <c r="A858" s="61"/>
      <c r="B858" s="62"/>
      <c r="C858" s="60"/>
      <c r="D858" s="62"/>
      <c r="F858" s="50" t="b">
        <f t="shared" si="31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149999999999999" customHeight="1" x14ac:dyDescent="0.2">
      <c r="A859" s="61"/>
      <c r="B859" s="62"/>
      <c r="C859" s="60"/>
      <c r="D859" s="62"/>
      <c r="F859" s="50" t="b">
        <f t="shared" si="31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149999999999999" customHeight="1" x14ac:dyDescent="0.2">
      <c r="A860" s="61"/>
      <c r="B860" s="62"/>
      <c r="C860" s="60"/>
      <c r="D860" s="62"/>
      <c r="F860" s="50" t="b">
        <f t="shared" si="31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149999999999999" customHeight="1" x14ac:dyDescent="0.2">
      <c r="A861" s="61"/>
      <c r="B861" s="62"/>
      <c r="C861" s="60"/>
      <c r="D861" s="62"/>
      <c r="F861" s="50" t="b">
        <f t="shared" si="31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149999999999999" customHeight="1" x14ac:dyDescent="0.2">
      <c r="A862" s="61"/>
      <c r="B862" s="62"/>
      <c r="C862" s="60"/>
      <c r="D862" s="62"/>
      <c r="F862" s="50" t="b">
        <f t="shared" si="31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149999999999999" customHeight="1" x14ac:dyDescent="0.2">
      <c r="A863" s="61"/>
      <c r="B863" s="62"/>
      <c r="C863" s="60"/>
      <c r="D863" s="62"/>
      <c r="F863" s="50" t="b">
        <f t="shared" si="31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149999999999999" customHeight="1" x14ac:dyDescent="0.2">
      <c r="A864" s="61"/>
      <c r="B864" s="62"/>
      <c r="C864" s="60"/>
      <c r="D864" s="62"/>
      <c r="F864" s="50" t="b">
        <f t="shared" si="31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149999999999999" customHeight="1" x14ac:dyDescent="0.2">
      <c r="A865" s="61"/>
      <c r="B865" s="62"/>
      <c r="C865" s="60"/>
      <c r="D865" s="62"/>
      <c r="F865" s="50" t="b">
        <f t="shared" si="31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149999999999999" customHeight="1" x14ac:dyDescent="0.2">
      <c r="A866" s="61"/>
      <c r="B866" s="62"/>
      <c r="C866" s="60"/>
      <c r="D866" s="62"/>
      <c r="F866" s="50" t="b">
        <f t="shared" si="31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149999999999999" customHeight="1" x14ac:dyDescent="0.2">
      <c r="A867" s="61"/>
      <c r="B867" s="62"/>
      <c r="C867" s="60"/>
      <c r="D867" s="62"/>
      <c r="F867" s="50" t="b">
        <f t="shared" si="31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149999999999999" customHeight="1" x14ac:dyDescent="0.2">
      <c r="A868" s="61"/>
      <c r="B868" s="62"/>
      <c r="C868" s="60"/>
      <c r="D868" s="62"/>
      <c r="F868" s="50" t="b">
        <f t="shared" si="31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149999999999999" customHeight="1" x14ac:dyDescent="0.2">
      <c r="A869" s="61"/>
      <c r="B869" s="62"/>
      <c r="C869" s="60"/>
      <c r="D869" s="62"/>
      <c r="F869" s="50" t="b">
        <f t="shared" si="31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149999999999999" customHeight="1" x14ac:dyDescent="0.2">
      <c r="A870" s="61"/>
      <c r="B870" s="62"/>
      <c r="C870" s="60"/>
      <c r="D870" s="62"/>
      <c r="F870" s="50" t="b">
        <f t="shared" si="31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149999999999999" customHeight="1" x14ac:dyDescent="0.2">
      <c r="A871" s="61"/>
      <c r="B871" s="62"/>
      <c r="C871" s="60"/>
      <c r="D871" s="62"/>
      <c r="F871" s="50" t="b">
        <f t="shared" si="31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149999999999999" customHeight="1" x14ac:dyDescent="0.2">
      <c r="A872" s="61"/>
      <c r="B872" s="62"/>
      <c r="C872" s="60"/>
      <c r="D872" s="62"/>
      <c r="F872" s="50" t="b">
        <f t="shared" si="31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149999999999999" customHeight="1" x14ac:dyDescent="0.2">
      <c r="A873" s="61"/>
      <c r="B873" s="62"/>
      <c r="C873" s="60"/>
      <c r="D873" s="62"/>
      <c r="F873" s="50" t="b">
        <f t="shared" si="31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149999999999999" customHeight="1" x14ac:dyDescent="0.2">
      <c r="A874" s="61"/>
      <c r="B874" s="62"/>
      <c r="C874" s="60"/>
      <c r="D874" s="62"/>
      <c r="F874" s="50" t="b">
        <f t="shared" si="31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149999999999999" customHeight="1" x14ac:dyDescent="0.2">
      <c r="A875" s="61"/>
      <c r="B875" s="62"/>
      <c r="C875" s="60"/>
      <c r="D875" s="62"/>
      <c r="F875" s="50" t="b">
        <f t="shared" si="31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31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31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31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31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31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31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31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31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31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31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31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31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31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31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31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31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31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31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31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31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31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32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32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32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32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32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32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32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32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32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32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32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32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32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32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32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32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32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32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32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32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32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32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32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32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32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32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32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32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32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32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32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32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32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32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32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32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32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32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32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32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32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32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32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32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32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32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32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32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32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32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32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32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32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32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32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32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32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32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32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32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32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32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32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32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33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33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33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33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33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33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33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33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33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33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33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33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33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33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33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33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33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33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33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33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33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33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33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33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33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33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33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33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33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33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33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33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33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33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33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33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33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33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33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33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33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33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33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33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33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33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33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33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33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33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33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33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33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33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33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33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33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33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33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33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33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33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33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33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34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34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34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34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34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34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34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34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34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34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34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34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34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34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34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34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34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34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34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34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34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34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34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34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34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34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34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34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34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34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34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34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34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34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34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34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34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34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34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34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34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34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34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34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34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34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34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34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34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34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34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34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34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34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34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34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34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34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34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34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34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34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34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34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35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35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35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35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35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35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35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35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35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35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35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35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35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35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35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35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35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35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35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35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35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35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35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35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35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35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35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35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35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35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35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35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35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35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35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35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35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35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35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35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35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35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35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35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35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35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35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35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35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35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35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35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35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35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35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35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35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35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35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35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35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35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35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35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35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2020-02-23T12:08:09Z</cp:lastPrinted>
  <dcterms:created xsi:type="dcterms:W3CDTF">2018-02-08T15:15:01Z</dcterms:created>
  <dcterms:modified xsi:type="dcterms:W3CDTF">2020-07-10T13:28:17Z</dcterms:modified>
</cp:coreProperties>
</file>