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Kravtsov\source\repos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_xlnm._FilterDatabase" localSheetId="1" hidden="1">Студенты!$A$1:$R$1153</definedName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E791" i="2" l="1"/>
  <c r="F791" i="2" s="1"/>
  <c r="E790" i="2" l="1"/>
  <c r="F790" i="2" s="1"/>
  <c r="E789" i="2" l="1"/>
  <c r="F789" i="2" s="1"/>
  <c r="V21" i="1" l="1"/>
  <c r="E776" i="2" l="1"/>
  <c r="E777" i="2"/>
  <c r="E778" i="2"/>
  <c r="E779" i="2"/>
  <c r="E780" i="2"/>
  <c r="E781" i="2"/>
  <c r="E782" i="2"/>
  <c r="E783" i="2"/>
  <c r="E784" i="2"/>
  <c r="E785" i="2"/>
  <c r="E786" i="2"/>
  <c r="E787" i="2"/>
  <c r="E788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775" i="2" l="1"/>
  <c r="E766" i="2" l="1"/>
  <c r="E767" i="2"/>
  <c r="E768" i="2"/>
  <c r="E769" i="2"/>
  <c r="E770" i="2"/>
  <c r="E771" i="2"/>
  <c r="E772" i="2"/>
  <c r="E773" i="2"/>
  <c r="E774" i="2"/>
  <c r="U61" i="1" l="1"/>
  <c r="U62" i="1"/>
  <c r="S30" i="1" l="1"/>
  <c r="E500" i="2" l="1"/>
  <c r="E146" i="2"/>
  <c r="E44" i="2"/>
  <c r="E250" i="2"/>
  <c r="E336" i="2"/>
  <c r="E349" i="2"/>
  <c r="E359" i="2"/>
  <c r="E532" i="2"/>
  <c r="E1" i="2"/>
  <c r="E4" i="2"/>
  <c r="E17" i="2"/>
  <c r="E72" i="2"/>
  <c r="E81" i="2"/>
  <c r="E82" i="2"/>
  <c r="E102" i="2"/>
  <c r="E113" i="2"/>
  <c r="E114" i="2"/>
  <c r="E125" i="2"/>
  <c r="E131" i="2"/>
  <c r="E143" i="2"/>
  <c r="E145" i="2"/>
  <c r="E168" i="2"/>
  <c r="E180" i="2"/>
  <c r="E248" i="2"/>
  <c r="E240" i="2"/>
  <c r="E205" i="2"/>
  <c r="E233" i="2"/>
  <c r="E279" i="2"/>
  <c r="E314" i="2"/>
  <c r="E306" i="2"/>
  <c r="E289" i="2"/>
  <c r="E320" i="2"/>
  <c r="E321" i="2"/>
  <c r="E329" i="2"/>
  <c r="E332" i="2"/>
  <c r="E341" i="2"/>
  <c r="E345" i="2"/>
  <c r="E395" i="2"/>
  <c r="E386" i="2"/>
  <c r="E380" i="2"/>
  <c r="E374" i="2"/>
  <c r="E413" i="2"/>
  <c r="E412" i="2"/>
  <c r="E418" i="2"/>
  <c r="E410" i="2"/>
  <c r="E426" i="2"/>
  <c r="E442" i="2"/>
  <c r="E444" i="2"/>
  <c r="E489" i="2"/>
  <c r="E481" i="2"/>
  <c r="E491" i="2"/>
  <c r="E505" i="2"/>
  <c r="E506" i="2"/>
  <c r="E536" i="2"/>
  <c r="E543" i="2"/>
  <c r="E544" i="2"/>
  <c r="E561" i="2"/>
  <c r="E495" i="2"/>
  <c r="E493" i="2"/>
  <c r="E439" i="2"/>
  <c r="E420" i="2"/>
  <c r="E230" i="2"/>
  <c r="E36" i="2"/>
  <c r="E47" i="2"/>
  <c r="E232" i="2"/>
  <c r="E307" i="2"/>
  <c r="E398" i="2"/>
  <c r="E213" i="2"/>
  <c r="E515" i="2"/>
  <c r="E400" i="2"/>
  <c r="E15" i="2"/>
  <c r="E427" i="2"/>
  <c r="E313" i="2"/>
  <c r="E27" i="2"/>
  <c r="E14" i="2"/>
  <c r="E31" i="2"/>
  <c r="E41" i="2"/>
  <c r="E51" i="2"/>
  <c r="E46" i="2"/>
  <c r="E48" i="2"/>
  <c r="E58" i="2"/>
  <c r="E95" i="2"/>
  <c r="E100" i="2"/>
  <c r="E110" i="2"/>
  <c r="E135" i="2"/>
  <c r="E134" i="2"/>
  <c r="E132" i="2"/>
  <c r="E140" i="2"/>
  <c r="E142" i="2"/>
  <c r="E151" i="2"/>
  <c r="E138" i="2"/>
  <c r="E154" i="2"/>
  <c r="E161" i="2"/>
  <c r="E165" i="2"/>
  <c r="E167" i="2"/>
  <c r="E178" i="2"/>
  <c r="E184" i="2"/>
  <c r="E179" i="2"/>
  <c r="E193" i="2"/>
  <c r="E210" i="2"/>
  <c r="E235" i="2"/>
  <c r="E238" i="2"/>
  <c r="E206" i="2"/>
  <c r="E224" i="2"/>
  <c r="E247" i="2"/>
  <c r="E282" i="2"/>
  <c r="E290" i="2"/>
  <c r="E319" i="2"/>
  <c r="E363" i="2"/>
  <c r="E377" i="2"/>
  <c r="E368" i="2"/>
  <c r="E405" i="2"/>
  <c r="E408" i="2"/>
  <c r="E411" i="2"/>
  <c r="E416" i="2"/>
  <c r="E470" i="2"/>
  <c r="E429" i="2"/>
  <c r="E450" i="2"/>
  <c r="E451" i="2"/>
  <c r="E452" i="2"/>
  <c r="E453" i="2"/>
  <c r="E473" i="2"/>
  <c r="E484" i="2"/>
  <c r="E499" i="2"/>
  <c r="E510" i="2"/>
  <c r="E537" i="2"/>
  <c r="E574" i="2"/>
  <c r="E573" i="2"/>
  <c r="E25" i="2"/>
  <c r="E30" i="2"/>
  <c r="E57" i="2"/>
  <c r="E55" i="2"/>
  <c r="E86" i="2"/>
  <c r="E257" i="2"/>
  <c r="E211" i="2"/>
  <c r="E219" i="2"/>
  <c r="E223" i="2"/>
  <c r="E298" i="2"/>
  <c r="E362" i="2"/>
  <c r="E383" i="2"/>
  <c r="E409" i="2"/>
  <c r="E552" i="2"/>
  <c r="E197" i="2"/>
  <c r="E188" i="2"/>
  <c r="E399" i="2"/>
  <c r="E89" i="2"/>
  <c r="E542" i="2"/>
  <c r="E333" i="2"/>
  <c r="E16" i="2"/>
  <c r="E24" i="2"/>
  <c r="E33" i="2"/>
  <c r="E68" i="2"/>
  <c r="E107" i="2"/>
  <c r="E123" i="2"/>
  <c r="E158" i="2"/>
  <c r="E166" i="2"/>
  <c r="E174" i="2"/>
  <c r="E182" i="2"/>
  <c r="E190" i="2"/>
  <c r="E191" i="2"/>
  <c r="E209" i="2"/>
  <c r="E227" i="2"/>
  <c r="E229" i="2"/>
  <c r="E283" i="2"/>
  <c r="E296" i="2"/>
  <c r="E305" i="2"/>
  <c r="E323" i="2"/>
  <c r="E350" i="2"/>
  <c r="E403" i="2"/>
  <c r="E404" i="2"/>
  <c r="E421" i="2"/>
  <c r="E448" i="2"/>
  <c r="E460" i="2"/>
  <c r="E461" i="2"/>
  <c r="E487" i="2"/>
  <c r="E507" i="2"/>
  <c r="E509" i="2"/>
  <c r="E521" i="2"/>
  <c r="E538" i="2"/>
  <c r="E555" i="2"/>
  <c r="E566" i="2"/>
  <c r="E571" i="2"/>
  <c r="E29" i="2"/>
  <c r="E28" i="2"/>
  <c r="E12" i="2"/>
  <c r="E7" i="2"/>
  <c r="E43" i="2"/>
  <c r="E53" i="2"/>
  <c r="E60" i="2"/>
  <c r="E66" i="2"/>
  <c r="E69" i="2"/>
  <c r="E83" i="2"/>
  <c r="E87" i="2"/>
  <c r="E99" i="2"/>
  <c r="E104" i="2"/>
  <c r="E115" i="2"/>
  <c r="E129" i="2"/>
  <c r="E150" i="2"/>
  <c r="E157" i="2"/>
  <c r="E217" i="2"/>
  <c r="E214" i="2"/>
  <c r="E208" i="2"/>
  <c r="E201" i="2"/>
  <c r="E252" i="2"/>
  <c r="E266" i="2"/>
  <c r="E304" i="2"/>
  <c r="E300" i="2"/>
  <c r="E322" i="2"/>
  <c r="E324" i="2"/>
  <c r="E331" i="2"/>
  <c r="E344" i="2"/>
  <c r="E402" i="2"/>
  <c r="E373" i="2"/>
  <c r="E430" i="2"/>
  <c r="E432" i="2"/>
  <c r="E454" i="2"/>
  <c r="E467" i="2"/>
  <c r="E479" i="2"/>
  <c r="E486" i="2"/>
  <c r="E502" i="2"/>
  <c r="E533" i="2"/>
  <c r="E565" i="2"/>
  <c r="E65" i="2"/>
  <c r="E121" i="2"/>
  <c r="E241" i="2"/>
  <c r="E173" i="2"/>
  <c r="E183" i="2"/>
  <c r="E202" i="2"/>
  <c r="E204" i="2"/>
  <c r="E245" i="2"/>
  <c r="E291" i="2"/>
  <c r="E318" i="2"/>
  <c r="E340" i="2"/>
  <c r="E353" i="2"/>
  <c r="E366" i="2"/>
  <c r="E385" i="2"/>
  <c r="E375" i="2"/>
  <c r="E435" i="2"/>
  <c r="E457" i="2"/>
  <c r="E462" i="2"/>
  <c r="E483" i="2"/>
  <c r="E520" i="2"/>
  <c r="E525" i="2"/>
  <c r="E534" i="2"/>
  <c r="E549" i="2"/>
  <c r="E62" i="2"/>
  <c r="E79" i="2"/>
  <c r="E92" i="2"/>
  <c r="E171" i="2"/>
  <c r="E270" i="2"/>
  <c r="E392" i="2"/>
  <c r="E438" i="2"/>
  <c r="E512" i="2"/>
  <c r="E558" i="2"/>
  <c r="E564" i="2"/>
  <c r="E88" i="2"/>
  <c r="E196" i="2"/>
  <c r="E141" i="2"/>
  <c r="E130" i="2"/>
  <c r="E225" i="2"/>
  <c r="E85" i="2"/>
  <c r="E388" i="2"/>
  <c r="E21" i="2"/>
  <c r="E185" i="2"/>
  <c r="E292" i="2"/>
  <c r="E554" i="2"/>
  <c r="E443" i="2"/>
  <c r="E334" i="2"/>
  <c r="E90" i="2"/>
  <c r="E434" i="2"/>
  <c r="E390" i="2"/>
  <c r="E59" i="2"/>
  <c r="E396" i="2"/>
  <c r="E401" i="2"/>
  <c r="E356" i="2"/>
  <c r="E504" i="2"/>
  <c r="E518" i="2"/>
  <c r="E553" i="2"/>
  <c r="E312" i="2"/>
  <c r="E9" i="2"/>
  <c r="E10" i="2"/>
  <c r="E11" i="2"/>
  <c r="E26" i="2"/>
  <c r="E35" i="2"/>
  <c r="E61" i="2"/>
  <c r="E64" i="2"/>
  <c r="E71" i="2"/>
  <c r="E80" i="2"/>
  <c r="E94" i="2"/>
  <c r="E96" i="2"/>
  <c r="E103" i="2"/>
  <c r="E105" i="2"/>
  <c r="E108" i="2"/>
  <c r="E109" i="2"/>
  <c r="E116" i="2"/>
  <c r="E120" i="2"/>
  <c r="E122" i="2"/>
  <c r="E139" i="2"/>
  <c r="E149" i="2"/>
  <c r="E155" i="2"/>
  <c r="E156" i="2"/>
  <c r="E159" i="2"/>
  <c r="E160" i="2"/>
  <c r="E164" i="2"/>
  <c r="E170" i="2"/>
  <c r="E172" i="2"/>
  <c r="E186" i="2"/>
  <c r="E189" i="2"/>
  <c r="E200" i="2"/>
  <c r="E203" i="2"/>
  <c r="E212" i="2"/>
  <c r="E218" i="2"/>
  <c r="E221" i="2"/>
  <c r="E231" i="2"/>
  <c r="E236" i="2"/>
  <c r="E237" i="2"/>
  <c r="E242" i="2"/>
  <c r="E246" i="2"/>
  <c r="E253" i="2"/>
  <c r="E256" i="2"/>
  <c r="E258" i="2"/>
  <c r="E259" i="2"/>
  <c r="E262" i="2"/>
  <c r="E268" i="2"/>
  <c r="E273" i="2"/>
  <c r="E278" i="2"/>
  <c r="E281" i="2"/>
  <c r="E287" i="2"/>
  <c r="E288" i="2"/>
  <c r="E310" i="2"/>
  <c r="E311" i="2"/>
  <c r="E315" i="2"/>
  <c r="E316" i="2"/>
  <c r="E325" i="2"/>
  <c r="E342" i="2"/>
  <c r="E343" i="2"/>
  <c r="E346" i="2"/>
  <c r="E348" i="2"/>
  <c r="E358" i="2"/>
  <c r="E365" i="2"/>
  <c r="E370" i="2"/>
  <c r="E372" i="2"/>
  <c r="E378" i="2"/>
  <c r="E379" i="2"/>
  <c r="E381" i="2"/>
  <c r="E382" i="2"/>
  <c r="E415" i="2"/>
  <c r="E417" i="2"/>
  <c r="E422" i="2"/>
  <c r="E424" i="2"/>
  <c r="E433" i="2"/>
  <c r="E436" i="2"/>
  <c r="E440" i="2"/>
  <c r="E445" i="2"/>
  <c r="E449" i="2"/>
  <c r="E458" i="2"/>
  <c r="E464" i="2"/>
  <c r="E471" i="2"/>
  <c r="E472" i="2"/>
  <c r="E480" i="2"/>
  <c r="E488" i="2"/>
  <c r="E490" i="2"/>
  <c r="E492" i="2"/>
  <c r="E498" i="2"/>
  <c r="E501" i="2"/>
  <c r="E511" i="2"/>
  <c r="E513" i="2"/>
  <c r="E514" i="2"/>
  <c r="E519" i="2"/>
  <c r="E528" i="2"/>
  <c r="E531" i="2"/>
  <c r="E535" i="2"/>
  <c r="E546" i="2"/>
  <c r="E547" i="2"/>
  <c r="E548" i="2"/>
  <c r="E551" i="2"/>
  <c r="E560" i="2"/>
  <c r="E6" i="2"/>
  <c r="E32" i="2"/>
  <c r="E34" i="2"/>
  <c r="E39" i="2"/>
  <c r="E63" i="2"/>
  <c r="E54" i="2"/>
  <c r="E67" i="2"/>
  <c r="E133" i="2"/>
  <c r="E152" i="2"/>
  <c r="E163" i="2"/>
  <c r="E199" i="2"/>
  <c r="E234" i="2"/>
  <c r="E254" i="2"/>
  <c r="E293" i="2"/>
  <c r="E301" i="2"/>
  <c r="E302" i="2"/>
  <c r="E389" i="2"/>
  <c r="E447" i="2"/>
  <c r="E478" i="2"/>
  <c r="E569" i="2"/>
  <c r="E8" i="2"/>
  <c r="E118" i="2"/>
  <c r="E119" i="2"/>
  <c r="E228" i="2"/>
  <c r="E384" i="2"/>
  <c r="E556" i="2"/>
  <c r="E475" i="2"/>
  <c r="E459" i="2"/>
  <c r="E284" i="2"/>
  <c r="E357" i="2"/>
  <c r="E195" i="2"/>
  <c r="E70" i="2"/>
  <c r="E52" i="2"/>
  <c r="E18" i="2"/>
  <c r="E50" i="2"/>
  <c r="E124" i="2"/>
  <c r="E126" i="2"/>
  <c r="E176" i="2"/>
  <c r="E177" i="2"/>
  <c r="E198" i="2"/>
  <c r="E207" i="2"/>
  <c r="E215" i="2"/>
  <c r="E243" i="2"/>
  <c r="E265" i="2"/>
  <c r="E303" i="2"/>
  <c r="E397" i="2"/>
  <c r="E456" i="2"/>
  <c r="E485" i="2"/>
  <c r="E562" i="2"/>
  <c r="E226" i="2"/>
  <c r="E354" i="2"/>
  <c r="E326" i="2"/>
  <c r="E425" i="2"/>
  <c r="E371" i="2"/>
  <c r="E431" i="2"/>
  <c r="E474" i="2"/>
  <c r="E482" i="2"/>
  <c r="E465" i="2"/>
  <c r="E364" i="2"/>
  <c r="E93" i="2"/>
  <c r="E317" i="2"/>
  <c r="E327" i="2"/>
  <c r="E271" i="2"/>
  <c r="E255" i="2"/>
  <c r="E508" i="2"/>
  <c r="E437" i="2"/>
  <c r="E295" i="2"/>
  <c r="E572" i="2"/>
  <c r="E106" i="2"/>
  <c r="E112" i="2"/>
  <c r="E567" i="2"/>
  <c r="E393" i="2"/>
  <c r="E84" i="2"/>
  <c r="E194" i="2"/>
  <c r="E272" i="2"/>
  <c r="E269" i="2"/>
  <c r="E563" i="2"/>
  <c r="E3" i="2"/>
  <c r="E249" i="2"/>
  <c r="E299" i="2"/>
  <c r="E347" i="2"/>
  <c r="E40" i="2"/>
  <c r="E144" i="2"/>
  <c r="E466" i="2"/>
  <c r="E260" i="2"/>
  <c r="E406" i="2"/>
  <c r="E127" i="2"/>
  <c r="E117" i="2"/>
  <c r="E355" i="2"/>
  <c r="E111" i="2"/>
  <c r="E147" i="2"/>
  <c r="E367" i="2"/>
  <c r="E455" i="2"/>
  <c r="E419" i="2"/>
  <c r="E468" i="2"/>
  <c r="E98" i="2"/>
  <c r="E503" i="2"/>
  <c r="E414" i="2"/>
  <c r="E559" i="2"/>
  <c r="E251" i="2"/>
  <c r="E5" i="2"/>
  <c r="E23" i="2"/>
  <c r="E162" i="2"/>
  <c r="E175" i="2"/>
  <c r="E216" i="2"/>
  <c r="E428" i="2"/>
  <c r="E469" i="2"/>
  <c r="E494" i="2"/>
  <c r="E516" i="2"/>
  <c r="E394" i="2"/>
  <c r="E37" i="2"/>
  <c r="E351" i="2"/>
  <c r="E360" i="2"/>
  <c r="E376" i="2"/>
  <c r="E441" i="2"/>
  <c r="E286" i="2"/>
  <c r="E387" i="2"/>
  <c r="E369" i="2"/>
  <c r="E56" i="2"/>
  <c r="E97" i="2"/>
  <c r="E73" i="2"/>
  <c r="E49" i="2"/>
  <c r="E220" i="2"/>
  <c r="E285" i="2"/>
  <c r="E497" i="2"/>
  <c r="E13" i="2"/>
  <c r="E42" i="2"/>
  <c r="E75" i="2"/>
  <c r="E74" i="2"/>
  <c r="E78" i="2"/>
  <c r="E101" i="2"/>
  <c r="E136" i="2"/>
  <c r="E169" i="2"/>
  <c r="E192" i="2"/>
  <c r="E276" i="2"/>
  <c r="E308" i="2"/>
  <c r="E309" i="2"/>
  <c r="E337" i="2"/>
  <c r="E522" i="2"/>
  <c r="E517" i="2"/>
  <c r="E524" i="2"/>
  <c r="E540" i="2"/>
  <c r="E541" i="2"/>
  <c r="E568" i="2"/>
  <c r="E570" i="2"/>
  <c r="E261" i="2"/>
  <c r="E239" i="2"/>
  <c r="E407" i="2"/>
  <c r="E244" i="2"/>
  <c r="E527" i="2"/>
  <c r="E264" i="2"/>
  <c r="E523" i="2"/>
  <c r="E476" i="2"/>
  <c r="E181" i="2"/>
  <c r="E148" i="2"/>
  <c r="E137" i="2"/>
  <c r="E77" i="2"/>
  <c r="E20" i="2"/>
  <c r="E19" i="2"/>
  <c r="E2" i="2"/>
  <c r="E45" i="2"/>
  <c r="E76" i="2"/>
  <c r="E128" i="2"/>
  <c r="E153" i="2"/>
  <c r="E187" i="2"/>
  <c r="E222" i="2"/>
  <c r="E267" i="2"/>
  <c r="E277" i="2"/>
  <c r="E274" i="2"/>
  <c r="E280" i="2"/>
  <c r="E294" i="2"/>
  <c r="E297" i="2"/>
  <c r="E330" i="2"/>
  <c r="E338" i="2"/>
  <c r="E339" i="2"/>
  <c r="E352" i="2"/>
  <c r="E335" i="2"/>
  <c r="E463" i="2"/>
  <c r="E423" i="2"/>
  <c r="E477" i="2"/>
  <c r="E496" i="2"/>
  <c r="E529" i="2"/>
  <c r="E530" i="2"/>
  <c r="E526" i="2"/>
  <c r="E545" i="2"/>
  <c r="E539" i="2"/>
  <c r="E550" i="2"/>
  <c r="E38" i="2"/>
  <c r="E275" i="2"/>
  <c r="E328" i="2"/>
  <c r="E446" i="2"/>
  <c r="E391" i="2"/>
  <c r="E263" i="2"/>
  <c r="E361" i="2"/>
  <c r="E91" i="2"/>
  <c r="E22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F550" i="2" l="1"/>
  <c r="F61" i="2"/>
  <c r="F377" i="2"/>
  <c r="F510" i="2"/>
  <c r="F23" i="2"/>
  <c r="F551" i="2"/>
  <c r="F412" i="2"/>
  <c r="F64" i="2"/>
  <c r="F496" i="2"/>
  <c r="F250" i="2"/>
  <c r="F311" i="2"/>
  <c r="F196" i="2"/>
  <c r="F259" i="2"/>
  <c r="F161" i="2"/>
  <c r="F395" i="2"/>
  <c r="F594" i="2"/>
  <c r="F8" i="2"/>
  <c r="F201" i="2"/>
  <c r="F335" i="2"/>
  <c r="F225" i="2"/>
  <c r="F429" i="2"/>
  <c r="F296" i="2"/>
  <c r="F580" i="2"/>
  <c r="F40" i="2"/>
  <c r="F724" i="2"/>
  <c r="F209" i="2"/>
  <c r="F278" i="2"/>
  <c r="F445" i="2"/>
  <c r="F52" i="2"/>
  <c r="F713" i="2"/>
  <c r="F13" i="2"/>
  <c r="F471" i="2"/>
  <c r="F548" i="2"/>
  <c r="F612" i="2"/>
  <c r="F599" i="2"/>
  <c r="F542" i="2"/>
  <c r="F273" i="2"/>
  <c r="F187" i="2"/>
  <c r="F459" i="2"/>
  <c r="F127" i="2"/>
  <c r="F156" i="2"/>
  <c r="F206" i="2"/>
  <c r="F536" i="2"/>
  <c r="F143" i="2"/>
  <c r="F118" i="2"/>
  <c r="F493" i="2"/>
  <c r="F365" i="2"/>
  <c r="F575" i="2"/>
  <c r="F57" i="2"/>
  <c r="F492" i="2"/>
  <c r="F530" i="2"/>
  <c r="F626" i="2"/>
  <c r="F131" i="2"/>
  <c r="F406" i="2"/>
  <c r="F637" i="2"/>
  <c r="F678" i="2"/>
  <c r="F287" i="2"/>
  <c r="F480" i="2"/>
  <c r="F627" i="2"/>
  <c r="F126" i="2"/>
  <c r="F497" i="2"/>
  <c r="F699" i="2"/>
  <c r="F342" i="2"/>
  <c r="F495" i="2"/>
  <c r="F38" i="2"/>
  <c r="F36" i="2"/>
  <c r="F91" i="2"/>
  <c r="F232" i="2"/>
  <c r="F394" i="2"/>
  <c r="F532" i="2"/>
  <c r="F257" i="2"/>
  <c r="F86" i="2"/>
  <c r="F125" i="2"/>
  <c r="F106" i="2"/>
  <c r="F314" i="2"/>
  <c r="F198" i="2"/>
  <c r="F309" i="2"/>
  <c r="F399" i="2"/>
  <c r="F116" i="2"/>
  <c r="F83" i="2"/>
  <c r="F49" i="2"/>
  <c r="F710" i="2"/>
  <c r="F762" i="2"/>
  <c r="F115" i="2"/>
  <c r="F15" i="2"/>
  <c r="F58" i="2"/>
  <c r="F552" i="2"/>
  <c r="F262" i="2"/>
  <c r="F687" i="2"/>
  <c r="F34" i="2"/>
  <c r="F51" i="2"/>
  <c r="F494" i="2"/>
  <c r="F615" i="2"/>
  <c r="F322" i="2"/>
  <c r="F455" i="2"/>
  <c r="F352" i="2"/>
  <c r="F468" i="2"/>
  <c r="F668" i="2"/>
  <c r="F183" i="2"/>
  <c r="F588" i="2"/>
  <c r="F717" i="2"/>
  <c r="F137" i="2"/>
  <c r="F424" i="2"/>
  <c r="F274" i="2"/>
  <c r="F420" i="2"/>
  <c r="F576" i="2"/>
  <c r="F719" i="2"/>
  <c r="F691" i="2"/>
  <c r="F267" i="2"/>
  <c r="F581" i="2"/>
  <c r="F440" i="2"/>
  <c r="F295" i="2"/>
  <c r="F97" i="2"/>
  <c r="F317" i="2"/>
  <c r="F659" i="2"/>
  <c r="F697" i="2"/>
  <c r="F519" i="2"/>
  <c r="F540" i="2"/>
  <c r="F533" i="2"/>
  <c r="F67" i="2"/>
  <c r="F248" i="2"/>
  <c r="F71" i="2"/>
  <c r="F355" i="2"/>
  <c r="F157" i="2"/>
  <c r="F343" i="2"/>
  <c r="F736" i="2"/>
  <c r="F27" i="2"/>
  <c r="F63" i="2"/>
  <c r="F374" i="2"/>
  <c r="F598" i="2"/>
  <c r="F488" i="2"/>
  <c r="F172" i="2"/>
  <c r="F485" i="2"/>
  <c r="F603" i="2"/>
  <c r="F162" i="2"/>
  <c r="F426" i="2"/>
  <c r="F37" i="2"/>
  <c r="F243" i="2"/>
  <c r="F28" i="2"/>
  <c r="F39" i="2"/>
  <c r="F464" i="2"/>
  <c r="F146" i="2"/>
  <c r="F760" i="2"/>
  <c r="F168" i="2"/>
  <c r="F715" i="2"/>
  <c r="F260" i="2"/>
  <c r="F165" i="2"/>
  <c r="F418" i="2"/>
  <c r="F217" i="2"/>
  <c r="F622" i="2"/>
  <c r="F684" i="2"/>
  <c r="F439" i="2"/>
  <c r="F730" i="2"/>
  <c r="F300" i="2"/>
  <c r="F315" i="2"/>
  <c r="F727" i="2"/>
  <c r="F218" i="2"/>
  <c r="F236" i="2"/>
  <c r="F149" i="2"/>
  <c r="F226" i="2"/>
  <c r="F389" i="2"/>
  <c r="F720" i="2"/>
  <c r="F755" i="2"/>
  <c r="F505" i="2"/>
  <c r="F181" i="2"/>
  <c r="F381" i="2"/>
  <c r="F65" i="2"/>
  <c r="F449" i="2"/>
  <c r="F139" i="2"/>
  <c r="F299" i="2"/>
  <c r="F233" i="2"/>
  <c r="F458" i="2"/>
  <c r="F239" i="2"/>
  <c r="F577" i="2"/>
  <c r="F658" i="2"/>
  <c r="F694" i="2"/>
  <c r="F534" i="2"/>
  <c r="F738" i="2"/>
  <c r="F527" i="2"/>
  <c r="F129" i="2"/>
  <c r="F194" i="2"/>
  <c r="F660" i="2"/>
  <c r="F112" i="2"/>
  <c r="F122" i="2"/>
  <c r="F189" i="2"/>
  <c r="F625" i="2"/>
  <c r="F251" i="2"/>
  <c r="F509" i="2"/>
  <c r="F109" i="2"/>
  <c r="F363" i="2"/>
  <c r="F306" i="2"/>
  <c r="F258" i="2"/>
  <c r="F301" i="2"/>
  <c r="F523" i="2"/>
  <c r="F761" i="2"/>
  <c r="F725" i="2"/>
  <c r="F722" i="2"/>
  <c r="F17" i="2"/>
  <c r="F518" i="2"/>
  <c r="F210" i="2"/>
  <c r="F754" i="2"/>
  <c r="F82" i="2"/>
  <c r="F197" i="2"/>
  <c r="F153" i="2"/>
  <c r="F669" i="2"/>
  <c r="F655" i="2"/>
  <c r="F685" i="2"/>
  <c r="F235" i="2"/>
  <c r="F7" i="2"/>
  <c r="F85" i="2"/>
  <c r="F472" i="2"/>
  <c r="F234" i="2"/>
  <c r="F646" i="2"/>
  <c r="F670" i="2"/>
  <c r="F213" i="2"/>
  <c r="F163" i="2"/>
  <c r="F93" i="2"/>
  <c r="F272" i="2"/>
  <c r="F639" i="2"/>
  <c r="F686" i="2"/>
  <c r="F400" i="2"/>
  <c r="F188" i="2"/>
  <c r="F50" i="2"/>
  <c r="F632" i="2"/>
  <c r="F444" i="2"/>
  <c r="F16" i="2"/>
  <c r="F159" i="2"/>
  <c r="F623" i="2"/>
  <c r="F643" i="2"/>
  <c r="F558" i="2"/>
  <c r="F567" i="2"/>
  <c r="F330" i="2"/>
  <c r="F271" i="2"/>
  <c r="F98" i="2"/>
  <c r="F22" i="2"/>
  <c r="F5" i="2"/>
  <c r="F393" i="2"/>
  <c r="F356" i="2"/>
  <c r="F171" i="2"/>
  <c r="F102" i="2"/>
  <c r="F113" i="2"/>
  <c r="F332" i="2"/>
  <c r="F442" i="2"/>
  <c r="F398" i="2"/>
  <c r="F142" i="2"/>
  <c r="F333" i="2"/>
  <c r="F174" i="2"/>
  <c r="F421" i="2"/>
  <c r="F43" i="2"/>
  <c r="F60" i="2"/>
  <c r="F99" i="2"/>
  <c r="F266" i="2"/>
  <c r="F457" i="2"/>
  <c r="F483" i="2"/>
  <c r="F554" i="2"/>
  <c r="F90" i="2"/>
  <c r="F504" i="2"/>
  <c r="F35" i="2"/>
  <c r="F80" i="2"/>
  <c r="F94" i="2"/>
  <c r="F96" i="2"/>
  <c r="F103" i="2"/>
  <c r="F528" i="2"/>
  <c r="F531" i="2"/>
  <c r="F6" i="2"/>
  <c r="F133" i="2"/>
  <c r="F177" i="2"/>
  <c r="F465" i="2"/>
  <c r="F508" i="2"/>
  <c r="F84" i="2"/>
  <c r="F269" i="2"/>
  <c r="F563" i="2"/>
  <c r="F117" i="2"/>
  <c r="F414" i="2"/>
  <c r="F428" i="2"/>
  <c r="F568" i="2"/>
  <c r="F407" i="2"/>
  <c r="F264" i="2"/>
  <c r="F148" i="2"/>
  <c r="F579" i="2"/>
  <c r="F640" i="2"/>
  <c r="F648" i="2"/>
  <c r="F650" i="2"/>
  <c r="F652" i="2"/>
  <c r="F657" i="2"/>
  <c r="F661" i="2"/>
  <c r="F664" i="2"/>
  <c r="F682" i="2"/>
  <c r="F683" i="2"/>
  <c r="F696" i="2"/>
  <c r="F695" i="2"/>
  <c r="F703" i="2"/>
  <c r="F708" i="2"/>
  <c r="F709" i="2"/>
  <c r="F741" i="2"/>
  <c r="F742" i="2"/>
  <c r="F744" i="2"/>
  <c r="F750" i="2"/>
  <c r="F765" i="2"/>
  <c r="F88" i="2"/>
  <c r="F430" i="2"/>
  <c r="F182" i="2"/>
  <c r="F66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382" i="2"/>
  <c r="F203" i="2"/>
  <c r="F592" i="2"/>
  <c r="F1" i="2"/>
  <c r="F422" i="2"/>
  <c r="F425" i="2"/>
  <c r="F373" i="2"/>
  <c r="F56" i="2"/>
  <c r="F227" i="2"/>
  <c r="F256" i="2"/>
  <c r="F320" i="2"/>
  <c r="F535" i="2"/>
  <c r="F186" i="2"/>
  <c r="F212" i="2"/>
  <c r="F341" i="2"/>
  <c r="F275" i="2"/>
  <c r="F596" i="2"/>
  <c r="F42" i="2"/>
  <c r="F396" i="2"/>
  <c r="F758" i="2"/>
  <c r="F345" i="2"/>
  <c r="F490" i="2"/>
  <c r="F662" i="2"/>
  <c r="F517" i="2"/>
  <c r="F613" i="2"/>
  <c r="F135" i="2"/>
  <c r="F75" i="2"/>
  <c r="F436" i="2"/>
  <c r="F636" i="2"/>
  <c r="F461" i="2"/>
  <c r="F305" i="2"/>
  <c r="F219" i="2"/>
  <c r="F290" i="2"/>
  <c r="F237" i="2"/>
  <c r="F522" i="2"/>
  <c r="F53" i="2"/>
  <c r="F645" i="2"/>
  <c r="F732" i="2"/>
  <c r="F346" i="2"/>
  <c r="F370" i="2"/>
  <c r="F620" i="2"/>
  <c r="F740" i="2"/>
  <c r="F397" i="2"/>
  <c r="F179" i="2"/>
  <c r="F312" i="2"/>
  <c r="F630" i="2"/>
  <c r="F368" i="2"/>
  <c r="F726" i="2"/>
  <c r="F289" i="2"/>
  <c r="F680" i="2"/>
  <c r="F764" i="2"/>
  <c r="F432" i="2"/>
  <c r="F369" i="2"/>
  <c r="F707" i="2"/>
  <c r="F195" i="2"/>
  <c r="F297" i="2"/>
  <c r="F141" i="2"/>
  <c r="F340" i="2"/>
  <c r="F11" i="2"/>
  <c r="F608" i="2"/>
  <c r="F185" i="2"/>
  <c r="F555" i="2"/>
  <c r="F549" i="2"/>
  <c r="F570" i="2"/>
  <c r="F706" i="2"/>
  <c r="F173" i="2"/>
  <c r="F241" i="2"/>
  <c r="F539" i="2"/>
  <c r="F702" i="2"/>
  <c r="F489" i="2"/>
  <c r="F128" i="2"/>
  <c r="F72" i="2"/>
  <c r="F215" i="2"/>
  <c r="F347" i="2"/>
  <c r="F351" i="2"/>
  <c r="F516" i="2"/>
  <c r="F419" i="2"/>
  <c r="F244" i="2"/>
  <c r="F438" i="2"/>
  <c r="F693" i="2"/>
  <c r="F33" i="2"/>
  <c r="F498" i="2"/>
  <c r="F405" i="2"/>
  <c r="F501" i="2"/>
  <c r="F191" i="2"/>
  <c r="F54" i="2"/>
  <c r="F559" i="2"/>
  <c r="F308" i="2"/>
  <c r="F216" i="2"/>
  <c r="F277" i="2"/>
  <c r="F327" i="2"/>
  <c r="F362" i="2"/>
  <c r="F591" i="2"/>
  <c r="F585" i="2"/>
  <c r="F403" i="2"/>
  <c r="F87" i="2"/>
  <c r="F285" i="2"/>
  <c r="F334" i="2"/>
  <c r="F364" i="2"/>
  <c r="F199" i="2"/>
  <c r="F618" i="2"/>
  <c r="F46" i="2"/>
  <c r="F451" i="2"/>
  <c r="F353" i="2"/>
  <c r="F348" i="2"/>
  <c r="F423" i="2"/>
  <c r="F692" i="2"/>
  <c r="F132" i="2"/>
  <c r="F541" i="2"/>
  <c r="F81" i="2"/>
  <c r="F324" i="2"/>
  <c r="F238" i="2"/>
  <c r="F291" i="2"/>
  <c r="F447" i="2"/>
  <c r="F656" i="2"/>
  <c r="F100" i="2"/>
  <c r="F434" i="2"/>
  <c r="F452" i="2"/>
  <c r="F24" i="2"/>
  <c r="F587" i="2"/>
  <c r="F283" i="2"/>
  <c r="F597" i="2"/>
  <c r="F245" i="2"/>
  <c r="F253" i="2"/>
  <c r="F147" i="2"/>
  <c r="F158" i="2"/>
  <c r="F220" i="2"/>
  <c r="F92" i="2"/>
  <c r="F313" i="2"/>
  <c r="F331" i="2"/>
  <c r="F711" i="2"/>
  <c r="F205" i="2"/>
  <c r="F619" i="2"/>
  <c r="F520" i="2"/>
  <c r="F79" i="2"/>
  <c r="F366" i="2"/>
  <c r="F77" i="2"/>
  <c r="F515" i="2"/>
  <c r="F104" i="2"/>
  <c r="F437" i="2"/>
  <c r="F386" i="2"/>
  <c r="F298" i="2"/>
  <c r="F3" i="2"/>
  <c r="F417" i="2"/>
  <c r="F415" i="2"/>
  <c r="F578" i="2"/>
  <c r="F499" i="2"/>
  <c r="F600" i="2"/>
  <c r="F211" i="2"/>
  <c r="F387" i="2"/>
  <c r="F59" i="2"/>
  <c r="F606" i="2"/>
  <c r="F756" i="2"/>
  <c r="F307" i="2"/>
  <c r="F47" i="2"/>
  <c r="F401" i="2"/>
  <c r="F574" i="2"/>
  <c r="F193" i="2"/>
  <c r="F538" i="2"/>
  <c r="F544" i="2"/>
  <c r="F123" i="2"/>
  <c r="F70" i="2"/>
  <c r="F78" i="2"/>
  <c r="F338" i="2"/>
  <c r="F716" i="2"/>
  <c r="F68" i="2"/>
  <c r="F302" i="2"/>
  <c r="F487" i="2"/>
  <c r="F204" i="2"/>
  <c r="F435" i="2"/>
  <c r="F286" i="2"/>
  <c r="F671" i="2"/>
  <c r="F674" i="2"/>
  <c r="F481" i="2"/>
  <c r="F593" i="2"/>
  <c r="F529" i="2"/>
  <c r="F712" i="2"/>
  <c r="F246" i="2"/>
  <c r="F545" i="2"/>
  <c r="F154" i="2"/>
  <c r="F30" i="2"/>
  <c r="F524" i="2"/>
  <c r="F629" i="2"/>
  <c r="F45" i="2"/>
  <c r="F101" i="2"/>
  <c r="F176" i="2"/>
  <c r="F651" i="2"/>
  <c r="F337" i="2"/>
  <c r="F378" i="2"/>
  <c r="F446" i="2"/>
  <c r="F610" i="2"/>
  <c r="F280" i="2"/>
  <c r="F753" i="2"/>
  <c r="F44" i="2"/>
  <c r="F484" i="2"/>
  <c r="F571" i="2"/>
  <c r="F190" i="2"/>
  <c r="F390" i="2"/>
  <c r="F456" i="2"/>
  <c r="F614" i="2"/>
  <c r="F663" i="2"/>
  <c r="F701" i="2"/>
  <c r="F561" i="2"/>
  <c r="F479" i="2"/>
  <c r="F728" i="2"/>
  <c r="F265" i="2"/>
  <c r="F336" i="2"/>
  <c r="F410" i="2"/>
  <c r="F506" i="2"/>
  <c r="F448" i="2"/>
  <c r="F281" i="2"/>
  <c r="F469" i="2"/>
  <c r="F2" i="2"/>
  <c r="F222" i="2"/>
  <c r="F586" i="2"/>
  <c r="F698" i="2"/>
  <c r="F114" i="2"/>
  <c r="F180" i="2"/>
  <c r="F282" i="2"/>
  <c r="F111" i="2"/>
  <c r="F200" i="2"/>
  <c r="F255" i="2"/>
  <c r="F383" i="2"/>
  <c r="F454" i="2"/>
  <c r="F229" i="2"/>
  <c r="F511" i="2"/>
  <c r="F582" i="2"/>
  <c r="F95" i="2"/>
  <c r="F31" i="2"/>
  <c r="F178" i="2"/>
  <c r="F62" i="2"/>
  <c r="F105" i="2"/>
  <c r="F589" i="2"/>
  <c r="F745" i="2"/>
  <c r="F573" i="2"/>
  <c r="F676" i="2"/>
  <c r="F718" i="2"/>
  <c r="F748" i="2"/>
  <c r="F9" i="2"/>
  <c r="F689" i="2"/>
  <c r="F667" i="2"/>
  <c r="F714" i="2"/>
  <c r="F402" i="2"/>
  <c r="F690" i="2"/>
  <c r="F350" i="2"/>
  <c r="F371" i="2"/>
  <c r="F375" i="2"/>
  <c r="F526" i="2"/>
  <c r="F450" i="2"/>
  <c r="F635" i="2"/>
  <c r="F55" i="2"/>
  <c r="F704" i="2"/>
  <c r="F653" i="2"/>
  <c r="F616" i="2"/>
  <c r="F230" i="2"/>
  <c r="F228" i="2"/>
  <c r="F681" i="2"/>
  <c r="F463" i="2"/>
  <c r="F76" i="2"/>
  <c r="F584" i="2"/>
  <c r="F119" i="2"/>
  <c r="F705" i="2"/>
  <c r="F242" i="2"/>
  <c r="F12" i="2"/>
  <c r="F677" i="2"/>
  <c r="F746" i="2"/>
  <c r="F478" i="2"/>
  <c r="F192" i="2"/>
  <c r="F329" i="2"/>
  <c r="F729" i="2"/>
  <c r="F460" i="2"/>
  <c r="F763" i="2"/>
  <c r="F507" i="2"/>
  <c r="F759" i="2"/>
  <c r="F628" i="2"/>
  <c r="F384" i="2"/>
  <c r="F611" i="2"/>
  <c r="F502" i="2"/>
  <c r="F48" i="2"/>
  <c r="F547" i="2"/>
  <c r="F734" i="2"/>
  <c r="F642" i="2"/>
  <c r="F631" i="2"/>
  <c r="F453" i="2"/>
  <c r="F688" i="2"/>
  <c r="F602" i="2"/>
  <c r="F69" i="2"/>
  <c r="F427" i="2"/>
  <c r="F737" i="2"/>
  <c r="F733" i="2"/>
  <c r="F344" i="2"/>
  <c r="F512" i="2"/>
  <c r="F521" i="2"/>
  <c r="F731" i="2"/>
  <c r="F376" i="2"/>
  <c r="F372" i="2"/>
  <c r="F638" i="2"/>
  <c r="F252" i="2"/>
  <c r="F601" i="2"/>
  <c r="F634" i="2"/>
  <c r="F276" i="2"/>
  <c r="F654" i="2"/>
  <c r="F292" i="2"/>
  <c r="F169" i="2"/>
  <c r="F150" i="2"/>
  <c r="F385" i="2"/>
  <c r="F665" i="2"/>
  <c r="F151" i="2"/>
  <c r="F144" i="2"/>
  <c r="F326" i="2"/>
  <c r="F477" i="2"/>
  <c r="F411" i="2"/>
  <c r="F560" i="2"/>
  <c r="F357" i="2"/>
  <c r="F21" i="2"/>
  <c r="F433" i="2"/>
  <c r="F19" i="2"/>
  <c r="F605" i="2"/>
  <c r="F359" i="2"/>
  <c r="F303" i="2"/>
  <c r="F328" i="2"/>
  <c r="F263" i="2"/>
  <c r="F751" i="2"/>
  <c r="F29" i="2"/>
  <c r="F553" i="2"/>
  <c r="F325" i="2"/>
  <c r="F18" i="2"/>
  <c r="F621" i="2"/>
  <c r="F408" i="2"/>
  <c r="F318" i="2"/>
  <c r="F673" i="2"/>
  <c r="F566" i="2"/>
  <c r="F491" i="2"/>
  <c r="F120" i="2"/>
  <c r="F624" i="2"/>
  <c r="F124" i="2"/>
  <c r="F223" i="2"/>
  <c r="F388" i="2"/>
  <c r="F735" i="2"/>
  <c r="F525" i="2"/>
  <c r="F288" i="2"/>
  <c r="F279" i="2"/>
  <c r="F641" i="2"/>
  <c r="F482" i="2"/>
  <c r="F321" i="2"/>
  <c r="F721" i="2"/>
  <c r="F254" i="2"/>
  <c r="F475" i="2"/>
  <c r="F26" i="2"/>
  <c r="F556" i="2"/>
  <c r="F224" i="2"/>
  <c r="F367" i="2"/>
  <c r="F569" i="2"/>
  <c r="F221" i="2"/>
  <c r="F595" i="2"/>
  <c r="F130" i="2"/>
  <c r="F473" i="2"/>
  <c r="F175" i="2"/>
  <c r="F474" i="2"/>
  <c r="F207" i="2"/>
  <c r="F564" i="2"/>
  <c r="F649" i="2"/>
  <c r="F470" i="2"/>
  <c r="F392" i="2"/>
  <c r="F503" i="2"/>
  <c r="F604" i="2"/>
  <c r="F89" i="2"/>
  <c r="F293" i="2"/>
  <c r="F155" i="2"/>
  <c r="F136" i="2"/>
  <c r="F379" i="2"/>
  <c r="F10" i="2"/>
  <c r="F500" i="2"/>
  <c r="F202" i="2"/>
  <c r="F747" i="2"/>
  <c r="F675" i="2"/>
  <c r="F723" i="2"/>
  <c r="F672" i="2"/>
  <c r="F486" i="2"/>
  <c r="F633" i="2"/>
  <c r="F679" i="2"/>
  <c r="F108" i="2"/>
  <c r="F749" i="2"/>
  <c r="F757" i="2"/>
  <c r="F543" i="2"/>
  <c r="F391" i="2"/>
  <c r="F409" i="2"/>
  <c r="F739" i="2"/>
  <c r="F466" i="2"/>
  <c r="F304" i="2"/>
  <c r="F107" i="2"/>
  <c r="F152" i="2"/>
  <c r="F583" i="2"/>
  <c r="F25" i="2"/>
  <c r="F170" i="2"/>
  <c r="F431" i="2"/>
  <c r="F20" i="2"/>
  <c r="F319" i="2"/>
  <c r="F138" i="2"/>
  <c r="F413" i="2"/>
  <c r="F562" i="2"/>
  <c r="F546" i="2"/>
  <c r="F743" i="2"/>
  <c r="F349" i="2"/>
  <c r="E557" i="2"/>
  <c r="F557" i="2" s="1"/>
  <c r="F32" i="2"/>
  <c r="F354" i="2"/>
  <c r="F4" i="2"/>
  <c r="F167" i="2"/>
  <c r="F145" i="2"/>
  <c r="F617" i="2"/>
  <c r="F572" i="2"/>
  <c r="F121" i="2"/>
  <c r="F284" i="2"/>
  <c r="F110" i="2"/>
  <c r="F184" i="2"/>
  <c r="F140" i="2"/>
  <c r="F214" i="2"/>
  <c r="F537" i="2"/>
  <c r="F358" i="2"/>
  <c r="F609" i="2"/>
  <c r="F268" i="2"/>
  <c r="F441" i="2"/>
  <c r="F476" i="2"/>
  <c r="F316" i="2"/>
  <c r="F68" i="1" l="1"/>
  <c r="F64" i="1"/>
  <c r="F65" i="1"/>
  <c r="F66" i="1"/>
  <c r="F67" i="1"/>
  <c r="F69" i="1"/>
  <c r="F70" i="1"/>
  <c r="F247" i="2" l="1"/>
  <c r="F565" i="2"/>
  <c r="F462" i="2"/>
  <c r="F261" i="2"/>
  <c r="F240" i="2"/>
  <c r="F467" i="2"/>
  <c r="F361" i="2"/>
  <c r="F249" i="2"/>
  <c r="F590" i="2"/>
  <c r="F166" i="2"/>
  <c r="F404" i="2"/>
  <c r="F416" i="2"/>
  <c r="F208" i="2"/>
  <c r="F339" i="2"/>
  <c r="F647" i="2"/>
  <c r="F160" i="2"/>
  <c r="F14" i="2"/>
  <c r="F164" i="2"/>
  <c r="F514" i="2"/>
  <c r="F666" i="2"/>
  <c r="F74" i="2"/>
  <c r="F644" i="2"/>
  <c r="F323" i="2"/>
  <c r="F41" i="2"/>
  <c r="F380" i="2"/>
  <c r="F443" i="2"/>
  <c r="F73" i="2"/>
  <c r="F310" i="2"/>
  <c r="F752" i="2"/>
  <c r="F513" i="2"/>
  <c r="F607" i="2"/>
  <c r="F231" i="2"/>
  <c r="F134" i="2"/>
  <c r="F700" i="2"/>
  <c r="F360" i="2"/>
  <c r="F270" i="2"/>
  <c r="F294" i="2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834" i="2" l="1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77" i="2"/>
  <c r="G832" i="2"/>
  <c r="G828" i="2"/>
  <c r="G824" i="2"/>
  <c r="G820" i="2"/>
  <c r="G816" i="2"/>
  <c r="G812" i="2"/>
  <c r="G808" i="2"/>
  <c r="G804" i="2"/>
  <c r="G800" i="2"/>
  <c r="G796" i="2"/>
  <c r="G792" i="2"/>
  <c r="G788" i="2"/>
  <c r="G784" i="2"/>
  <c r="G780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81" i="2"/>
  <c r="G776" i="2"/>
  <c r="G775" i="2"/>
  <c r="G774" i="2"/>
  <c r="G770" i="2"/>
  <c r="G766" i="2"/>
  <c r="G769" i="2"/>
  <c r="G773" i="2"/>
  <c r="G772" i="2"/>
  <c r="G768" i="2"/>
  <c r="G771" i="2"/>
  <c r="G767" i="2"/>
  <c r="G82" i="2"/>
  <c r="G113" i="2"/>
  <c r="G143" i="2"/>
  <c r="G102" i="2"/>
  <c r="G17" i="2"/>
  <c r="G168" i="2"/>
  <c r="G531" i="2"/>
  <c r="G88" i="2"/>
  <c r="G742" i="2"/>
  <c r="G703" i="2"/>
  <c r="G682" i="2"/>
  <c r="G652" i="2"/>
  <c r="G579" i="2"/>
  <c r="G568" i="2"/>
  <c r="G563" i="2"/>
  <c r="G465" i="2"/>
  <c r="G103" i="2"/>
  <c r="G35" i="2"/>
  <c r="G483" i="2"/>
  <c r="G60" i="2"/>
  <c r="G333" i="2"/>
  <c r="G332" i="2"/>
  <c r="G356" i="2"/>
  <c r="G98" i="2"/>
  <c r="G558" i="2"/>
  <c r="G16" i="2"/>
  <c r="G188" i="2"/>
  <c r="G272" i="2"/>
  <c r="G670" i="2"/>
  <c r="G85" i="2"/>
  <c r="G655" i="2"/>
  <c r="G430" i="2"/>
  <c r="G744" i="2"/>
  <c r="G708" i="2"/>
  <c r="G683" i="2"/>
  <c r="G657" i="2"/>
  <c r="G640" i="2"/>
  <c r="G407" i="2"/>
  <c r="G117" i="2"/>
  <c r="G508" i="2"/>
  <c r="G6" i="2"/>
  <c r="G96" i="2"/>
  <c r="G504" i="2"/>
  <c r="G457" i="2"/>
  <c r="G43" i="2"/>
  <c r="G142" i="2"/>
  <c r="G393" i="2"/>
  <c r="G271" i="2"/>
  <c r="G643" i="2"/>
  <c r="G444" i="2"/>
  <c r="G400" i="2"/>
  <c r="G93" i="2"/>
  <c r="G646" i="2"/>
  <c r="G7" i="2"/>
  <c r="G669" i="2"/>
  <c r="G754" i="2"/>
  <c r="G182" i="2"/>
  <c r="G750" i="2"/>
  <c r="G709" i="2"/>
  <c r="G696" i="2"/>
  <c r="G661" i="2"/>
  <c r="G648" i="2"/>
  <c r="G264" i="2"/>
  <c r="G414" i="2"/>
  <c r="G84" i="2"/>
  <c r="G133" i="2"/>
  <c r="G94" i="2"/>
  <c r="G90" i="2"/>
  <c r="G266" i="2"/>
  <c r="G421" i="2"/>
  <c r="G398" i="2"/>
  <c r="G5" i="2"/>
  <c r="G330" i="2"/>
  <c r="G623" i="2"/>
  <c r="G632" i="2"/>
  <c r="G686" i="2"/>
  <c r="G163" i="2"/>
  <c r="G234" i="2"/>
  <c r="G235" i="2"/>
  <c r="G153" i="2"/>
  <c r="G210" i="2"/>
  <c r="G66" i="2"/>
  <c r="G765" i="2"/>
  <c r="G741" i="2"/>
  <c r="G695" i="2"/>
  <c r="G664" i="2"/>
  <c r="G650" i="2"/>
  <c r="G148" i="2"/>
  <c r="G428" i="2"/>
  <c r="G269" i="2"/>
  <c r="G177" i="2"/>
  <c r="G528" i="2"/>
  <c r="G80" i="2"/>
  <c r="G554" i="2"/>
  <c r="G99" i="2"/>
  <c r="G174" i="2"/>
  <c r="G442" i="2"/>
  <c r="G171" i="2"/>
  <c r="G22" i="2"/>
  <c r="G567" i="2"/>
  <c r="G159" i="2"/>
  <c r="G50" i="2"/>
  <c r="G639" i="2"/>
  <c r="G213" i="2"/>
  <c r="G472" i="2"/>
  <c r="G685" i="2"/>
  <c r="G197" i="2"/>
  <c r="G518" i="2"/>
  <c r="G760" i="2"/>
  <c r="G165" i="2"/>
  <c r="G335" i="2"/>
  <c r="G588" i="2"/>
  <c r="G61" i="2"/>
  <c r="G250" i="2"/>
  <c r="G551" i="2"/>
  <c r="G722" i="2"/>
  <c r="G301" i="2"/>
  <c r="G109" i="2"/>
  <c r="G189" i="2"/>
  <c r="G194" i="2"/>
  <c r="G534" i="2"/>
  <c r="G239" i="2"/>
  <c r="G139" i="2"/>
  <c r="G181" i="2"/>
  <c r="G389" i="2"/>
  <c r="G218" i="2"/>
  <c r="G730" i="2"/>
  <c r="G217" i="2"/>
  <c r="G715" i="2"/>
  <c r="G464" i="2"/>
  <c r="G37" i="2"/>
  <c r="G485" i="2"/>
  <c r="G374" i="2"/>
  <c r="G343" i="2"/>
  <c r="G248" i="2"/>
  <c r="G519" i="2"/>
  <c r="G97" i="2"/>
  <c r="G267" i="2"/>
  <c r="G420" i="2"/>
  <c r="G717" i="2"/>
  <c r="G468" i="2"/>
  <c r="G615" i="2"/>
  <c r="G687" i="2"/>
  <c r="G15" i="2"/>
  <c r="G49" i="2"/>
  <c r="G309" i="2"/>
  <c r="G125" i="2"/>
  <c r="G394" i="2"/>
  <c r="G38" i="2"/>
  <c r="G497" i="2"/>
  <c r="G287" i="2"/>
  <c r="G131" i="2"/>
  <c r="G57" i="2"/>
  <c r="G118" i="2"/>
  <c r="G156" i="2"/>
  <c r="G273" i="2"/>
  <c r="G548" i="2"/>
  <c r="G52" i="2"/>
  <c r="G724" i="2"/>
  <c r="G429" i="2"/>
  <c r="G8" i="2"/>
  <c r="G259" i="2"/>
  <c r="G496" i="2"/>
  <c r="G23" i="2"/>
  <c r="G550" i="2"/>
  <c r="G523" i="2"/>
  <c r="G363" i="2"/>
  <c r="G625" i="2"/>
  <c r="G660" i="2"/>
  <c r="G738" i="2"/>
  <c r="G577" i="2"/>
  <c r="G299" i="2"/>
  <c r="G381" i="2"/>
  <c r="G720" i="2"/>
  <c r="G236" i="2"/>
  <c r="G300" i="2"/>
  <c r="G622" i="2"/>
  <c r="G260" i="2"/>
  <c r="G146" i="2"/>
  <c r="G243" i="2"/>
  <c r="G603" i="2"/>
  <c r="G598" i="2"/>
  <c r="G736" i="2"/>
  <c r="G71" i="2"/>
  <c r="G540" i="2"/>
  <c r="G317" i="2"/>
  <c r="G581" i="2"/>
  <c r="G576" i="2"/>
  <c r="G137" i="2"/>
  <c r="G668" i="2"/>
  <c r="G322" i="2"/>
  <c r="G34" i="2"/>
  <c r="G58" i="2"/>
  <c r="G710" i="2"/>
  <c r="G399" i="2"/>
  <c r="G106" i="2"/>
  <c r="G532" i="2"/>
  <c r="G36" i="2"/>
  <c r="G699" i="2"/>
  <c r="G480" i="2"/>
  <c r="G406" i="2"/>
  <c r="G492" i="2"/>
  <c r="G493" i="2"/>
  <c r="G206" i="2"/>
  <c r="G187" i="2"/>
  <c r="G612" i="2"/>
  <c r="G713" i="2"/>
  <c r="G209" i="2"/>
  <c r="G296" i="2"/>
  <c r="G201" i="2"/>
  <c r="G161" i="2"/>
  <c r="G196" i="2"/>
  <c r="G64" i="2"/>
  <c r="G510" i="2"/>
  <c r="G761" i="2"/>
  <c r="G306" i="2"/>
  <c r="G251" i="2"/>
  <c r="G112" i="2"/>
  <c r="G527" i="2"/>
  <c r="G658" i="2"/>
  <c r="G233" i="2"/>
  <c r="G65" i="2"/>
  <c r="G755" i="2"/>
  <c r="G149" i="2"/>
  <c r="G315" i="2"/>
  <c r="G684" i="2"/>
  <c r="G28" i="2"/>
  <c r="G162" i="2"/>
  <c r="G488" i="2"/>
  <c r="G27" i="2"/>
  <c r="G355" i="2"/>
  <c r="G533" i="2"/>
  <c r="G659" i="2"/>
  <c r="G440" i="2"/>
  <c r="G719" i="2"/>
  <c r="G424" i="2"/>
  <c r="G183" i="2"/>
  <c r="G455" i="2"/>
  <c r="G51" i="2"/>
  <c r="G552" i="2"/>
  <c r="G762" i="2"/>
  <c r="G116" i="2"/>
  <c r="G314" i="2"/>
  <c r="G257" i="2"/>
  <c r="G91" i="2"/>
  <c r="G342" i="2"/>
  <c r="G627" i="2"/>
  <c r="G637" i="2"/>
  <c r="G530" i="2"/>
  <c r="G365" i="2"/>
  <c r="G536" i="2"/>
  <c r="G459" i="2"/>
  <c r="G599" i="2"/>
  <c r="G13" i="2"/>
  <c r="G278" i="2"/>
  <c r="G580" i="2"/>
  <c r="G395" i="2"/>
  <c r="G311" i="2"/>
  <c r="G412" i="2"/>
  <c r="G377" i="2"/>
  <c r="G725" i="2"/>
  <c r="G258" i="2"/>
  <c r="G509" i="2"/>
  <c r="G122" i="2"/>
  <c r="G129" i="2"/>
  <c r="G694" i="2"/>
  <c r="G458" i="2"/>
  <c r="G449" i="2"/>
  <c r="G505" i="2"/>
  <c r="G226" i="2"/>
  <c r="G727" i="2"/>
  <c r="G439" i="2"/>
  <c r="G418" i="2"/>
  <c r="G39" i="2"/>
  <c r="G426" i="2"/>
  <c r="G172" i="2"/>
  <c r="G63" i="2"/>
  <c r="G157" i="2"/>
  <c r="G67" i="2"/>
  <c r="G697" i="2"/>
  <c r="G295" i="2"/>
  <c r="G691" i="2"/>
  <c r="G274" i="2"/>
  <c r="G352" i="2"/>
  <c r="G262" i="2"/>
  <c r="G83" i="2"/>
  <c r="G86" i="2"/>
  <c r="G495" i="2"/>
  <c r="G678" i="2"/>
  <c r="G575" i="2"/>
  <c r="G127" i="2"/>
  <c r="G471" i="2"/>
  <c r="G40" i="2"/>
  <c r="G594" i="2"/>
  <c r="G494" i="2"/>
  <c r="G115" i="2"/>
  <c r="G198" i="2"/>
  <c r="G232" i="2"/>
  <c r="G126" i="2"/>
  <c r="G626" i="2"/>
  <c r="G542" i="2"/>
  <c r="G445" i="2"/>
  <c r="G225" i="2"/>
  <c r="G270" i="2"/>
  <c r="G700" i="2"/>
  <c r="G467" i="2"/>
  <c r="G231" i="2"/>
  <c r="G310" i="2"/>
  <c r="G41" i="2"/>
  <c r="G164" i="2"/>
  <c r="G339" i="2"/>
  <c r="G166" i="2"/>
  <c r="G513" i="2"/>
  <c r="G443" i="2"/>
  <c r="G644" i="2"/>
  <c r="G666" i="2"/>
  <c r="G160" i="2"/>
  <c r="G416" i="2"/>
  <c r="G249" i="2"/>
  <c r="G261" i="2"/>
  <c r="G565" i="2"/>
  <c r="G268" i="2"/>
  <c r="G214" i="2"/>
  <c r="G284" i="2"/>
  <c r="G145" i="2"/>
  <c r="G32" i="2"/>
  <c r="G546" i="2"/>
  <c r="G319" i="2"/>
  <c r="G25" i="2"/>
  <c r="G304" i="2"/>
  <c r="G391" i="2"/>
  <c r="G108" i="2"/>
  <c r="G672" i="2"/>
  <c r="G202" i="2"/>
  <c r="G136" i="2"/>
  <c r="G604" i="2"/>
  <c r="G649" i="2"/>
  <c r="G175" i="2"/>
  <c r="G221" i="2"/>
  <c r="G556" i="2"/>
  <c r="G721" i="2"/>
  <c r="G279" i="2"/>
  <c r="G388" i="2"/>
  <c r="G120" i="2"/>
  <c r="G318" i="2"/>
  <c r="G325" i="2"/>
  <c r="G263" i="2"/>
  <c r="G605" i="2"/>
  <c r="G357" i="2"/>
  <c r="G326" i="2"/>
  <c r="G385" i="2"/>
  <c r="G654" i="2"/>
  <c r="G252" i="2"/>
  <c r="G731" i="2"/>
  <c r="G733" i="2"/>
  <c r="G602" i="2"/>
  <c r="G642" i="2"/>
  <c r="G502" i="2"/>
  <c r="G759" i="2"/>
  <c r="G729" i="2"/>
  <c r="G746" i="2"/>
  <c r="G705" i="2"/>
  <c r="G463" i="2"/>
  <c r="G616" i="2"/>
  <c r="G635" i="2"/>
  <c r="G371" i="2"/>
  <c r="G714" i="2"/>
  <c r="G748" i="2"/>
  <c r="G745" i="2"/>
  <c r="G178" i="2"/>
  <c r="G511" i="2"/>
  <c r="G255" i="2"/>
  <c r="G180" i="2"/>
  <c r="G222" i="2"/>
  <c r="G448" i="2"/>
  <c r="G265" i="2"/>
  <c r="G701" i="2"/>
  <c r="G390" i="2"/>
  <c r="G44" i="2"/>
  <c r="G446" i="2"/>
  <c r="G176" i="2"/>
  <c r="G524" i="2"/>
  <c r="G246" i="2"/>
  <c r="G481" i="2"/>
  <c r="G435" i="2"/>
  <c r="G68" i="2"/>
  <c r="G70" i="2"/>
  <c r="G193" i="2"/>
  <c r="G307" i="2"/>
  <c r="G387" i="2"/>
  <c r="G578" i="2"/>
  <c r="G298" i="2"/>
  <c r="G515" i="2"/>
  <c r="G520" i="2"/>
  <c r="G331" i="2"/>
  <c r="G158" i="2"/>
  <c r="G597" i="2"/>
  <c r="G452" i="2"/>
  <c r="G447" i="2"/>
  <c r="G81" i="2"/>
  <c r="G423" i="2"/>
  <c r="G46" i="2"/>
  <c r="G334" i="2"/>
  <c r="G585" i="2"/>
  <c r="G277" i="2"/>
  <c r="G54" i="2"/>
  <c r="G498" i="2"/>
  <c r="G244" i="2"/>
  <c r="G347" i="2"/>
  <c r="G489" i="2"/>
  <c r="G173" i="2"/>
  <c r="G555" i="2"/>
  <c r="G340" i="2"/>
  <c r="G707" i="2"/>
  <c r="G680" i="2"/>
  <c r="G630" i="2"/>
  <c r="G740" i="2"/>
  <c r="G732" i="2"/>
  <c r="G237" i="2"/>
  <c r="G461" i="2"/>
  <c r="G135" i="2"/>
  <c r="G490" i="2"/>
  <c r="G42" i="2"/>
  <c r="G212" i="2"/>
  <c r="G256" i="2"/>
  <c r="G425" i="2"/>
  <c r="G203" i="2"/>
  <c r="G441" i="2"/>
  <c r="G537" i="2"/>
  <c r="G110" i="2"/>
  <c r="G617" i="2"/>
  <c r="G354" i="2"/>
  <c r="G743" i="2"/>
  <c r="G138" i="2"/>
  <c r="G170" i="2"/>
  <c r="G107" i="2"/>
  <c r="G409" i="2"/>
  <c r="G749" i="2"/>
  <c r="G486" i="2"/>
  <c r="G747" i="2"/>
  <c r="G379" i="2"/>
  <c r="G89" i="2"/>
  <c r="G470" i="2"/>
  <c r="G474" i="2"/>
  <c r="G595" i="2"/>
  <c r="G224" i="2"/>
  <c r="G254" i="2"/>
  <c r="G641" i="2"/>
  <c r="G735" i="2"/>
  <c r="G624" i="2"/>
  <c r="G673" i="2"/>
  <c r="G18" i="2"/>
  <c r="G751" i="2"/>
  <c r="G359" i="2"/>
  <c r="G21" i="2"/>
  <c r="G477" i="2"/>
  <c r="G665" i="2"/>
  <c r="G292" i="2"/>
  <c r="G601" i="2"/>
  <c r="G376" i="2"/>
  <c r="G344" i="2"/>
  <c r="G69" i="2"/>
  <c r="G631" i="2"/>
  <c r="G48" i="2"/>
  <c r="G628" i="2"/>
  <c r="G460" i="2"/>
  <c r="G478" i="2"/>
  <c r="G242" i="2"/>
  <c r="G76" i="2"/>
  <c r="G230" i="2"/>
  <c r="G55" i="2"/>
  <c r="G375" i="2"/>
  <c r="G402" i="2"/>
  <c r="G9" i="2"/>
  <c r="G573" i="2"/>
  <c r="G62" i="2"/>
  <c r="G582" i="2"/>
  <c r="G383" i="2"/>
  <c r="G282" i="2"/>
  <c r="G586" i="2"/>
  <c r="G281" i="2"/>
  <c r="G336" i="2"/>
  <c r="G561" i="2"/>
  <c r="G456" i="2"/>
  <c r="G484" i="2"/>
  <c r="G610" i="2"/>
  <c r="G651" i="2"/>
  <c r="G629" i="2"/>
  <c r="G545" i="2"/>
  <c r="G593" i="2"/>
  <c r="G286" i="2"/>
  <c r="G302" i="2"/>
  <c r="G78" i="2"/>
  <c r="G538" i="2"/>
  <c r="G47" i="2"/>
  <c r="G59" i="2"/>
  <c r="G499" i="2"/>
  <c r="G3" i="2"/>
  <c r="G104" i="2"/>
  <c r="G79" i="2"/>
  <c r="G711" i="2"/>
  <c r="G220" i="2"/>
  <c r="G245" i="2"/>
  <c r="G24" i="2"/>
  <c r="G656" i="2"/>
  <c r="G324" i="2"/>
  <c r="G692" i="2"/>
  <c r="G451" i="2"/>
  <c r="G364" i="2"/>
  <c r="G403" i="2"/>
  <c r="G327" i="2"/>
  <c r="G559" i="2"/>
  <c r="G405" i="2"/>
  <c r="G438" i="2"/>
  <c r="G351" i="2"/>
  <c r="G128" i="2"/>
  <c r="G241" i="2"/>
  <c r="G549" i="2"/>
  <c r="G11" i="2"/>
  <c r="G195" i="2"/>
  <c r="G764" i="2"/>
  <c r="G368" i="2"/>
  <c r="G397" i="2"/>
  <c r="G346" i="2"/>
  <c r="G522" i="2"/>
  <c r="G305" i="2"/>
  <c r="G75" i="2"/>
  <c r="G662" i="2"/>
  <c r="G396" i="2"/>
  <c r="G341" i="2"/>
  <c r="G320" i="2"/>
  <c r="G373" i="2"/>
  <c r="G592" i="2"/>
  <c r="G476" i="2"/>
  <c r="G358" i="2"/>
  <c r="G184" i="2"/>
  <c r="G572" i="2"/>
  <c r="G4" i="2"/>
  <c r="G349" i="2"/>
  <c r="G413" i="2"/>
  <c r="G431" i="2"/>
  <c r="G152" i="2"/>
  <c r="G739" i="2"/>
  <c r="G757" i="2"/>
  <c r="G633" i="2"/>
  <c r="G675" i="2"/>
  <c r="G10" i="2"/>
  <c r="G293" i="2"/>
  <c r="G392" i="2"/>
  <c r="G207" i="2"/>
  <c r="G130" i="2"/>
  <c r="G367" i="2"/>
  <c r="G475" i="2"/>
  <c r="G482" i="2"/>
  <c r="G525" i="2"/>
  <c r="G124" i="2"/>
  <c r="G566" i="2"/>
  <c r="G621" i="2"/>
  <c r="G29" i="2"/>
  <c r="G303" i="2"/>
  <c r="G433" i="2"/>
  <c r="G411" i="2"/>
  <c r="G151" i="2"/>
  <c r="G169" i="2"/>
  <c r="G634" i="2"/>
  <c r="G372" i="2"/>
  <c r="G512" i="2"/>
  <c r="G427" i="2"/>
  <c r="G453" i="2"/>
  <c r="G547" i="2"/>
  <c r="G384" i="2"/>
  <c r="G763" i="2"/>
  <c r="G192" i="2"/>
  <c r="G12" i="2"/>
  <c r="G584" i="2"/>
  <c r="G228" i="2"/>
  <c r="G704" i="2"/>
  <c r="G526" i="2"/>
  <c r="G690" i="2"/>
  <c r="G689" i="2"/>
  <c r="G676" i="2"/>
  <c r="G105" i="2"/>
  <c r="G95" i="2"/>
  <c r="G454" i="2"/>
  <c r="G111" i="2"/>
  <c r="G698" i="2"/>
  <c r="G469" i="2"/>
  <c r="G410" i="2"/>
  <c r="G479" i="2"/>
  <c r="G614" i="2"/>
  <c r="G571" i="2"/>
  <c r="G280" i="2"/>
  <c r="G337" i="2"/>
  <c r="G45" i="2"/>
  <c r="G154" i="2"/>
  <c r="G529" i="2"/>
  <c r="G671" i="2"/>
  <c r="G487" i="2"/>
  <c r="G338" i="2"/>
  <c r="G544" i="2"/>
  <c r="G401" i="2"/>
  <c r="G606" i="2"/>
  <c r="G600" i="2"/>
  <c r="G417" i="2"/>
  <c r="G437" i="2"/>
  <c r="G366" i="2"/>
  <c r="G205" i="2"/>
  <c r="G92" i="2"/>
  <c r="G253" i="2"/>
  <c r="G587" i="2"/>
  <c r="G100" i="2"/>
  <c r="G238" i="2"/>
  <c r="G132" i="2"/>
  <c r="G353" i="2"/>
  <c r="G199" i="2"/>
  <c r="G87" i="2"/>
  <c r="G362" i="2"/>
  <c r="G308" i="2"/>
  <c r="G501" i="2"/>
  <c r="G693" i="2"/>
  <c r="G516" i="2"/>
  <c r="G72" i="2"/>
  <c r="G539" i="2"/>
  <c r="G570" i="2"/>
  <c r="G608" i="2"/>
  <c r="G297" i="2"/>
  <c r="G432" i="2"/>
  <c r="G726" i="2"/>
  <c r="G179" i="2"/>
  <c r="G370" i="2"/>
  <c r="G53" i="2"/>
  <c r="G219" i="2"/>
  <c r="G436" i="2"/>
  <c r="G517" i="2"/>
  <c r="G758" i="2"/>
  <c r="G275" i="2"/>
  <c r="G535" i="2"/>
  <c r="G56" i="2"/>
  <c r="G1" i="2"/>
  <c r="G316" i="2"/>
  <c r="G609" i="2"/>
  <c r="G140" i="2"/>
  <c r="G121" i="2"/>
  <c r="G167" i="2"/>
  <c r="G557" i="2"/>
  <c r="G562" i="2"/>
  <c r="G20" i="2"/>
  <c r="G583" i="2"/>
  <c r="G466" i="2"/>
  <c r="G543" i="2"/>
  <c r="G679" i="2"/>
  <c r="G723" i="2"/>
  <c r="G500" i="2"/>
  <c r="G155" i="2"/>
  <c r="G503" i="2"/>
  <c r="G564" i="2"/>
  <c r="G473" i="2"/>
  <c r="G569" i="2"/>
  <c r="G26" i="2"/>
  <c r="G321" i="2"/>
  <c r="G288" i="2"/>
  <c r="G223" i="2"/>
  <c r="G491" i="2"/>
  <c r="G408" i="2"/>
  <c r="G553" i="2"/>
  <c r="G328" i="2"/>
  <c r="G19" i="2"/>
  <c r="G560" i="2"/>
  <c r="G144" i="2"/>
  <c r="G150" i="2"/>
  <c r="G276" i="2"/>
  <c r="G638" i="2"/>
  <c r="G521" i="2"/>
  <c r="G737" i="2"/>
  <c r="G688" i="2"/>
  <c r="G734" i="2"/>
  <c r="G611" i="2"/>
  <c r="G507" i="2"/>
  <c r="G329" i="2"/>
  <c r="G677" i="2"/>
  <c r="G119" i="2"/>
  <c r="G681" i="2"/>
  <c r="G653" i="2"/>
  <c r="G450" i="2"/>
  <c r="G350" i="2"/>
  <c r="G667" i="2"/>
  <c r="G718" i="2"/>
  <c r="G589" i="2"/>
  <c r="G31" i="2"/>
  <c r="G229" i="2"/>
  <c r="G200" i="2"/>
  <c r="G114" i="2"/>
  <c r="G2" i="2"/>
  <c r="G506" i="2"/>
  <c r="G728" i="2"/>
  <c r="G663" i="2"/>
  <c r="G190" i="2"/>
  <c r="G753" i="2"/>
  <c r="G378" i="2"/>
  <c r="G101" i="2"/>
  <c r="G30" i="2"/>
  <c r="G712" i="2"/>
  <c r="G674" i="2"/>
  <c r="G204" i="2"/>
  <c r="G716" i="2"/>
  <c r="G123" i="2"/>
  <c r="G574" i="2"/>
  <c r="G756" i="2"/>
  <c r="G211" i="2"/>
  <c r="G415" i="2"/>
  <c r="G386" i="2"/>
  <c r="G77" i="2"/>
  <c r="G619" i="2"/>
  <c r="G313" i="2"/>
  <c r="G147" i="2"/>
  <c r="G283" i="2"/>
  <c r="G434" i="2"/>
  <c r="G291" i="2"/>
  <c r="G541" i="2"/>
  <c r="G348" i="2"/>
  <c r="G618" i="2"/>
  <c r="G285" i="2"/>
  <c r="G591" i="2"/>
  <c r="G216" i="2"/>
  <c r="G191" i="2"/>
  <c r="G33" i="2"/>
  <c r="G419" i="2"/>
  <c r="G215" i="2"/>
  <c r="G702" i="2"/>
  <c r="G706" i="2"/>
  <c r="G185" i="2"/>
  <c r="G141" i="2"/>
  <c r="G369" i="2"/>
  <c r="G289" i="2"/>
  <c r="G312" i="2"/>
  <c r="G620" i="2"/>
  <c r="G645" i="2"/>
  <c r="G290" i="2"/>
  <c r="G636" i="2"/>
  <c r="G613" i="2"/>
  <c r="G345" i="2"/>
  <c r="G596" i="2"/>
  <c r="G186" i="2"/>
  <c r="G227" i="2"/>
  <c r="G422" i="2"/>
  <c r="G382" i="2"/>
  <c r="G360" i="2"/>
  <c r="G134" i="2"/>
  <c r="G607" i="2"/>
  <c r="G752" i="2"/>
  <c r="G73" i="2"/>
  <c r="G380" i="2"/>
  <c r="G323" i="2"/>
  <c r="G74" i="2"/>
  <c r="G514" i="2"/>
  <c r="G14" i="2"/>
  <c r="G647" i="2"/>
  <c r="G208" i="2"/>
  <c r="G404" i="2"/>
  <c r="G590" i="2"/>
  <c r="G361" i="2"/>
  <c r="G240" i="2"/>
  <c r="G462" i="2"/>
  <c r="G247" i="2"/>
  <c r="G294" i="2"/>
  <c r="H364" i="2" l="1"/>
  <c r="H245" i="2"/>
  <c r="H143" i="2"/>
  <c r="H368" i="2"/>
  <c r="H79" i="2"/>
  <c r="H176" i="2"/>
  <c r="H45" i="2"/>
  <c r="H588" i="2"/>
  <c r="H654" i="2"/>
  <c r="H760" i="2"/>
  <c r="H644" i="2"/>
  <c r="H160" i="2"/>
  <c r="H762" i="2"/>
  <c r="H733" i="2"/>
  <c r="H360" i="2"/>
  <c r="H427" i="2"/>
  <c r="H492" i="2"/>
  <c r="H717" i="2"/>
  <c r="H110" i="2"/>
  <c r="H405" i="2"/>
  <c r="H429" i="2"/>
  <c r="H296" i="2"/>
  <c r="H322" i="2"/>
  <c r="H402" i="2"/>
  <c r="H432" i="2"/>
  <c r="H387" i="2"/>
  <c r="H168" i="2"/>
  <c r="H165" i="2"/>
  <c r="H411" i="2"/>
  <c r="H228" i="2"/>
  <c r="H101" i="2"/>
  <c r="H335" i="2"/>
  <c r="H651" i="2"/>
  <c r="H737" i="2"/>
  <c r="H46" i="2"/>
  <c r="H225" i="2"/>
  <c r="H560" i="2"/>
  <c r="H357" i="2"/>
  <c r="H337" i="2"/>
  <c r="H192" i="2"/>
  <c r="H115" i="2"/>
  <c r="H633" i="2"/>
  <c r="H1" i="2"/>
  <c r="H238" i="2"/>
  <c r="H416" i="2"/>
  <c r="H193" i="2"/>
  <c r="H166" i="2"/>
  <c r="H344" i="2"/>
  <c r="H104" i="2"/>
  <c r="H121" i="2"/>
  <c r="H21" i="2"/>
  <c r="H203" i="2"/>
  <c r="H464" i="2"/>
  <c r="H152" i="2"/>
  <c r="H254" i="2"/>
  <c r="H419" i="2"/>
  <c r="H76" i="2"/>
  <c r="H530" i="2"/>
  <c r="H610" i="2"/>
  <c r="H672" i="2"/>
  <c r="H721" i="2"/>
  <c r="H557" i="2"/>
  <c r="H72" i="2"/>
  <c r="H248" i="2"/>
  <c r="H329" i="2"/>
  <c r="H15" i="2"/>
  <c r="H134" i="2"/>
  <c r="H154" i="2"/>
  <c r="H219" i="2"/>
  <c r="H283" i="2"/>
  <c r="H461" i="2"/>
  <c r="H12" i="2"/>
  <c r="H157" i="2"/>
  <c r="H324" i="2"/>
  <c r="H137" i="2"/>
  <c r="H352" i="2"/>
  <c r="H361" i="2"/>
  <c r="H587" i="2"/>
  <c r="H624" i="2"/>
  <c r="H645" i="2"/>
  <c r="H681" i="2"/>
  <c r="H706" i="2"/>
  <c r="H723" i="2"/>
  <c r="H735" i="2"/>
  <c r="H478" i="2"/>
  <c r="H198" i="2"/>
  <c r="H482" i="2"/>
  <c r="H40" i="2"/>
  <c r="H466" i="2"/>
  <c r="H376" i="2"/>
  <c r="H309" i="2"/>
  <c r="H202" i="2"/>
  <c r="H520" i="2"/>
  <c r="H231" i="2"/>
  <c r="H379" i="2"/>
  <c r="H440" i="2"/>
  <c r="H293" i="2"/>
  <c r="H44" i="2"/>
  <c r="H341" i="2"/>
  <c r="H307" i="2"/>
  <c r="H313" i="2"/>
  <c r="H484" i="2"/>
  <c r="H552" i="2"/>
  <c r="H24" i="2"/>
  <c r="H209" i="2"/>
  <c r="H571" i="2"/>
  <c r="H92" i="2"/>
  <c r="H130" i="2"/>
  <c r="H390" i="2"/>
  <c r="H116" i="2"/>
  <c r="H512" i="2"/>
  <c r="H378" i="2"/>
  <c r="H519" i="2"/>
  <c r="H522" i="2"/>
  <c r="H597" i="2"/>
  <c r="H719" i="2"/>
  <c r="H4" i="2"/>
  <c r="H314" i="2"/>
  <c r="H58" i="2"/>
  <c r="H451" i="2"/>
  <c r="H305" i="2"/>
  <c r="H69" i="2"/>
  <c r="H476" i="2"/>
  <c r="H423" i="2"/>
  <c r="H618" i="2"/>
  <c r="H659" i="2"/>
  <c r="H753" i="2"/>
  <c r="H749" i="2"/>
  <c r="H397" i="2"/>
  <c r="H347" i="2"/>
  <c r="H73" i="2"/>
  <c r="H353" i="2"/>
  <c r="H724" i="2"/>
  <c r="H490" i="2"/>
  <c r="H138" i="2"/>
  <c r="H515" i="2"/>
  <c r="H362" i="2"/>
  <c r="H190" i="2"/>
  <c r="H533" i="2"/>
  <c r="H443" i="2"/>
  <c r="H172" i="2"/>
  <c r="H262" i="2"/>
  <c r="H343" i="2"/>
  <c r="H417" i="2"/>
  <c r="H445" i="2"/>
  <c r="H54" i="2"/>
  <c r="H485" i="2"/>
  <c r="H562" i="2"/>
  <c r="H468" i="2"/>
  <c r="H369" i="2"/>
  <c r="H20" i="2"/>
  <c r="H584" i="2"/>
  <c r="H602" i="2"/>
  <c r="H606" i="2"/>
  <c r="H638" i="2"/>
  <c r="H668" i="2"/>
  <c r="H688" i="2"/>
  <c r="H701" i="2"/>
  <c r="H715" i="2"/>
  <c r="H739" i="2"/>
  <c r="H746" i="2"/>
  <c r="H561" i="2"/>
  <c r="H452" i="2"/>
  <c r="H87" i="2"/>
  <c r="H565" i="2"/>
  <c r="H292" i="2"/>
  <c r="H424" i="2"/>
  <c r="H295" i="2"/>
  <c r="H13" i="2"/>
  <c r="H496" i="2"/>
  <c r="H583" i="2"/>
  <c r="H617" i="2"/>
  <c r="H707" i="2"/>
  <c r="H453" i="2"/>
  <c r="H540" i="2"/>
  <c r="H434" i="2"/>
  <c r="H637" i="2"/>
  <c r="H702" i="2"/>
  <c r="H71" i="2"/>
  <c r="H493" i="2"/>
  <c r="H532" i="2"/>
  <c r="H410" i="2"/>
  <c r="H140" i="2"/>
  <c r="H247" i="2"/>
  <c r="H450" i="2"/>
  <c r="H537" i="2"/>
  <c r="H211" i="2"/>
  <c r="H448" i="2"/>
  <c r="H83" i="2"/>
  <c r="H252" i="2"/>
  <c r="H241" i="2"/>
  <c r="H438" i="2"/>
  <c r="H388" i="2"/>
  <c r="H26" i="2"/>
  <c r="H164" i="2"/>
  <c r="H64" i="2"/>
  <c r="H488" i="2"/>
  <c r="H455" i="2"/>
  <c r="H446" i="2"/>
  <c r="H649" i="2"/>
  <c r="H764" i="2"/>
  <c r="H81" i="2"/>
  <c r="H230" i="2"/>
  <c r="H132" i="2"/>
  <c r="H107" i="2"/>
  <c r="H521" i="2"/>
  <c r="H304" i="2"/>
  <c r="H280" i="2"/>
  <c r="H580" i="2"/>
  <c r="H626" i="2"/>
  <c r="H692" i="2"/>
  <c r="H731" i="2"/>
  <c r="H118" i="2"/>
  <c r="H3" i="2"/>
  <c r="H516" i="2"/>
  <c r="H373" i="2"/>
  <c r="H525" i="2"/>
  <c r="H415" i="2"/>
  <c r="H131" i="2"/>
  <c r="H232" i="2"/>
  <c r="H319" i="2"/>
  <c r="H399" i="2"/>
  <c r="H227" i="2"/>
  <c r="H392" i="2"/>
  <c r="H9" i="2"/>
  <c r="H212" i="2"/>
  <c r="H278" i="2"/>
  <c r="H372" i="2"/>
  <c r="H433" i="2"/>
  <c r="H63" i="2"/>
  <c r="H52" i="2"/>
  <c r="H456" i="2"/>
  <c r="H406" i="2"/>
  <c r="H394" i="2"/>
  <c r="H220" i="2"/>
  <c r="H545" i="2"/>
  <c r="H593" i="2"/>
  <c r="H604" i="2"/>
  <c r="H614" i="2"/>
  <c r="H663" i="2"/>
  <c r="H679" i="2"/>
  <c r="H691" i="2"/>
  <c r="H713" i="2"/>
  <c r="H736" i="2"/>
  <c r="H743" i="2"/>
  <c r="H758" i="2"/>
  <c r="H41" i="2"/>
  <c r="H409" i="2"/>
  <c r="H479" i="2"/>
  <c r="H291" i="2"/>
  <c r="H10" i="2"/>
  <c r="H260" i="2"/>
  <c r="H37" i="2"/>
  <c r="H74" i="2"/>
  <c r="H526" i="2"/>
  <c r="H585" i="2"/>
  <c r="H619" i="2"/>
  <c r="H728" i="2"/>
  <c r="H711" i="2"/>
  <c r="H30" i="2"/>
  <c r="H265" i="2"/>
  <c r="H471" i="2"/>
  <c r="H678" i="2"/>
  <c r="H287" i="2"/>
  <c r="H336" i="2"/>
  <c r="H374" i="2"/>
  <c r="H506" i="2"/>
  <c r="H184" i="2"/>
  <c r="H290" i="2"/>
  <c r="H499" i="2"/>
  <c r="H257" i="2"/>
  <c r="H223" i="2"/>
  <c r="H460" i="2"/>
  <c r="H201" i="2"/>
  <c r="H486" i="2"/>
  <c r="H462" i="2"/>
  <c r="H141" i="2"/>
  <c r="H334" i="2"/>
  <c r="H120" i="2"/>
  <c r="H221" i="2"/>
  <c r="H268" i="2"/>
  <c r="H310" i="2"/>
  <c r="H382" i="2"/>
  <c r="H237" i="2"/>
  <c r="H370" i="2"/>
  <c r="H513" i="2"/>
  <c r="H39" i="2"/>
  <c r="H195" i="2"/>
  <c r="H354" i="2"/>
  <c r="H317" i="2"/>
  <c r="H56" i="2"/>
  <c r="H541" i="2"/>
  <c r="H2" i="2"/>
  <c r="H267" i="2"/>
  <c r="H274" i="2"/>
  <c r="H275" i="2"/>
  <c r="H590" i="2"/>
  <c r="H601" i="2"/>
  <c r="H609" i="2"/>
  <c r="H621" i="2"/>
  <c r="H630" i="2"/>
  <c r="H634" i="2"/>
  <c r="H656" i="2"/>
  <c r="H689" i="2"/>
  <c r="H705" i="2"/>
  <c r="H734" i="2"/>
  <c r="H114" i="2"/>
  <c r="H205" i="2"/>
  <c r="H380" i="2"/>
  <c r="H53" i="2"/>
  <c r="H111" i="2"/>
  <c r="H570" i="2"/>
  <c r="H77" i="2"/>
  <c r="H599" i="2"/>
  <c r="H200" i="2"/>
  <c r="H700" i="2"/>
  <c r="H473" i="2"/>
  <c r="H422" i="2"/>
  <c r="H498" i="2"/>
  <c r="H596" i="2"/>
  <c r="H620" i="2"/>
  <c r="H175" i="2"/>
  <c r="H366" i="2"/>
  <c r="H119" i="2"/>
  <c r="H297" i="2"/>
  <c r="H747" i="2"/>
  <c r="H491" i="2"/>
  <c r="H542" i="2"/>
  <c r="H250" i="2"/>
  <c r="H240" i="2"/>
  <c r="H404" i="2"/>
  <c r="H553" i="2"/>
  <c r="H273" i="2"/>
  <c r="H346" i="2"/>
  <c r="H365" i="2"/>
  <c r="H547" i="2"/>
  <c r="H497" i="2"/>
  <c r="H308" i="2"/>
  <c r="H391" i="2"/>
  <c r="H699" i="2"/>
  <c r="H603" i="2"/>
  <c r="H100" i="2"/>
  <c r="H459" i="2"/>
  <c r="H454" i="2"/>
  <c r="H123" i="2"/>
  <c r="H524" i="2"/>
  <c r="H729" i="2"/>
  <c r="H127" i="2"/>
  <c r="H242" i="2"/>
  <c r="H229" i="2"/>
  <c r="H595" i="2"/>
  <c r="H70" i="2"/>
  <c r="H78" i="2"/>
  <c r="H550" i="2"/>
  <c r="H582" i="2"/>
  <c r="H635" i="2"/>
  <c r="H687" i="2"/>
  <c r="H716" i="2"/>
  <c r="H150" i="2"/>
  <c r="H673" i="2"/>
  <c r="H67" i="2"/>
  <c r="H349" i="2"/>
  <c r="H95" i="2"/>
  <c r="H68" i="2"/>
  <c r="H331" i="2"/>
  <c r="H396" i="2"/>
  <c r="H342" i="2"/>
  <c r="H316" i="2"/>
  <c r="H31" i="2"/>
  <c r="H413" i="2"/>
  <c r="H495" i="2"/>
  <c r="H27" i="2"/>
  <c r="H224" i="2"/>
  <c r="H510" i="2"/>
  <c r="H350" i="2"/>
  <c r="H487" i="2"/>
  <c r="H28" i="2"/>
  <c r="H502" i="2"/>
  <c r="H340" i="2"/>
  <c r="H435" i="2"/>
  <c r="H105" i="2"/>
  <c r="H34" i="2"/>
  <c r="H546" i="2"/>
  <c r="H199" i="2"/>
  <c r="H162" i="2"/>
  <c r="H351" i="2"/>
  <c r="H517" i="2"/>
  <c r="H575" i="2"/>
  <c r="H665" i="2"/>
  <c r="H671" i="2"/>
  <c r="H714" i="2"/>
  <c r="H748" i="2"/>
  <c r="H145" i="2"/>
  <c r="H57" i="2"/>
  <c r="H183" i="2"/>
  <c r="H431" i="2"/>
  <c r="H367" i="2"/>
  <c r="H42" i="2"/>
  <c r="H158" i="2"/>
  <c r="H412" i="2"/>
  <c r="H481" i="2"/>
  <c r="H151" i="2"/>
  <c r="H214" i="2"/>
  <c r="H259" i="2"/>
  <c r="H371" i="2"/>
  <c r="H667" i="2"/>
  <c r="H345" i="2"/>
  <c r="H408" i="2"/>
  <c r="H249" i="2"/>
  <c r="H185" i="2"/>
  <c r="H384" i="2"/>
  <c r="H327" i="2"/>
  <c r="H676" i="2"/>
  <c r="H763" i="2"/>
  <c r="H564" i="2"/>
  <c r="H375" i="2"/>
  <c r="H653" i="2"/>
  <c r="H641" i="2"/>
  <c r="H395" i="2"/>
  <c r="H759" i="2"/>
  <c r="H475" i="2"/>
  <c r="H470" i="2"/>
  <c r="H608" i="2"/>
  <c r="H318" i="2"/>
  <c r="H208" i="2"/>
  <c r="H594" i="2"/>
  <c r="H752" i="2"/>
  <c r="H89" i="2"/>
  <c r="H529" i="2"/>
  <c r="H500" i="2"/>
  <c r="H8" i="2"/>
  <c r="H170" i="2"/>
  <c r="H59" i="2"/>
  <c r="H281" i="2"/>
  <c r="H480" i="2"/>
  <c r="H548" i="2"/>
  <c r="H556" i="2"/>
  <c r="H207" i="2"/>
  <c r="H425" i="2"/>
  <c r="H469" i="2"/>
  <c r="H49" i="2"/>
  <c r="H19" i="2"/>
  <c r="H222" i="2"/>
  <c r="H277" i="2"/>
  <c r="H539" i="2"/>
  <c r="H586" i="2"/>
  <c r="H592" i="2"/>
  <c r="H607" i="2"/>
  <c r="H613" i="2"/>
  <c r="H627" i="2"/>
  <c r="H631" i="2"/>
  <c r="H642" i="2"/>
  <c r="H666" i="2"/>
  <c r="H698" i="2"/>
  <c r="H710" i="2"/>
  <c r="H757" i="2"/>
  <c r="H180" i="2"/>
  <c r="H544" i="2"/>
  <c r="H282" i="2"/>
  <c r="H173" i="2"/>
  <c r="H276" i="2"/>
  <c r="H75" i="2"/>
  <c r="H612" i="2"/>
  <c r="H605" i="2"/>
  <c r="H263" i="2"/>
  <c r="H14" i="2"/>
  <c r="H270" i="2"/>
  <c r="H436" i="2"/>
  <c r="H447" i="2"/>
  <c r="H339" i="2"/>
  <c r="H647" i="2"/>
  <c r="H693" i="2"/>
  <c r="H549" i="2"/>
  <c r="H355" i="2"/>
  <c r="H732" i="2"/>
  <c r="H751" i="2"/>
  <c r="H86" i="2"/>
  <c r="H126" i="2"/>
  <c r="H125" i="2"/>
  <c r="H420" i="2"/>
  <c r="H29" i="2"/>
  <c r="H256" i="2"/>
  <c r="H311" i="2"/>
  <c r="H348" i="2"/>
  <c r="H501" i="2"/>
  <c r="H255" i="2"/>
  <c r="H169" i="2"/>
  <c r="H187" i="2"/>
  <c r="H598" i="2"/>
  <c r="H572" i="2"/>
  <c r="H726" i="2"/>
  <c r="H325" i="2"/>
  <c r="H48" i="2"/>
  <c r="H298" i="2"/>
  <c r="H253" i="2"/>
  <c r="H25" i="2"/>
  <c r="H463" i="2"/>
  <c r="H474" i="2"/>
  <c r="H216" i="2"/>
  <c r="H680" i="2"/>
  <c r="H511" i="2"/>
  <c r="H18" i="2"/>
  <c r="H338" i="2"/>
  <c r="H578" i="2"/>
  <c r="H616" i="2"/>
  <c r="H675" i="2"/>
  <c r="H690" i="2"/>
  <c r="H756" i="2"/>
  <c r="H441" i="2"/>
  <c r="H146" i="2"/>
  <c r="H261" i="2"/>
  <c r="H321" i="2"/>
  <c r="H55" i="2"/>
  <c r="H383" i="2"/>
  <c r="H385" i="2"/>
  <c r="H61" i="2"/>
  <c r="H186" i="2"/>
  <c r="H302" i="2"/>
  <c r="H386" i="2"/>
  <c r="H320" i="2"/>
  <c r="H47" i="2"/>
  <c r="H178" i="2"/>
  <c r="H377" i="2"/>
  <c r="H33" i="2"/>
  <c r="H403" i="2"/>
  <c r="H566" i="2"/>
  <c r="H467" i="2"/>
  <c r="H204" i="2"/>
  <c r="H62" i="2"/>
  <c r="H401" i="2"/>
  <c r="H156" i="2"/>
  <c r="H535" i="2"/>
  <c r="H32" i="2"/>
  <c r="H23" i="2"/>
  <c r="H286" i="2"/>
  <c r="H136" i="2"/>
  <c r="H294" i="2"/>
  <c r="H576" i="2"/>
  <c r="H662" i="2"/>
  <c r="H674" i="2"/>
  <c r="H740" i="2"/>
  <c r="H359" i="2"/>
  <c r="H135" i="2"/>
  <c r="H191" i="2"/>
  <c r="H551" i="2"/>
  <c r="H437" i="2"/>
  <c r="H559" i="2"/>
  <c r="H611" i="2"/>
  <c r="H677" i="2"/>
  <c r="H426" i="2"/>
  <c r="H51" i="2"/>
  <c r="H555" i="2"/>
  <c r="H196" i="2"/>
  <c r="H569" i="2"/>
  <c r="H144" i="2"/>
  <c r="H718" i="2"/>
  <c r="H489" i="2"/>
  <c r="H323" i="2"/>
  <c r="H600" i="2"/>
  <c r="H155" i="2"/>
  <c r="H326" i="2"/>
  <c r="H628" i="2"/>
  <c r="H704" i="2"/>
  <c r="H38" i="2"/>
  <c r="H591" i="2"/>
  <c r="H106" i="2"/>
  <c r="H161" i="2"/>
  <c r="H538" i="2"/>
  <c r="H573" i="2"/>
  <c r="H507" i="2"/>
  <c r="H244" i="2"/>
  <c r="H574" i="2"/>
  <c r="H636" i="2"/>
  <c r="H312" i="2"/>
  <c r="H477" i="2"/>
  <c r="H36" i="2"/>
  <c r="H179" i="2"/>
  <c r="H303" i="2"/>
  <c r="H581" i="2"/>
  <c r="H514" i="2"/>
  <c r="H206" i="2"/>
  <c r="H503" i="2"/>
  <c r="H128" i="2"/>
  <c r="H284" i="2"/>
  <c r="H328" i="2"/>
  <c r="H147" i="2"/>
  <c r="H289" i="2"/>
  <c r="H745" i="2"/>
  <c r="H589" i="2"/>
  <c r="H167" i="2"/>
  <c r="H543" i="2"/>
  <c r="H11" i="2"/>
  <c r="H97" i="2"/>
  <c r="H615" i="2"/>
  <c r="H358" i="2"/>
  <c r="H418" i="2"/>
  <c r="H622" i="2"/>
  <c r="H439" i="2"/>
  <c r="H300" i="2"/>
  <c r="H727" i="2"/>
  <c r="H236" i="2"/>
  <c r="H226" i="2"/>
  <c r="H720" i="2"/>
  <c r="H288" i="2"/>
  <c r="H697" i="2"/>
  <c r="H712" i="2"/>
  <c r="H124" i="2"/>
  <c r="H536" i="2"/>
  <c r="H285" i="2"/>
  <c r="H279" i="2"/>
  <c r="H684" i="2"/>
  <c r="H315" i="2"/>
  <c r="H149" i="2"/>
  <c r="H755" i="2"/>
  <c r="H181" i="2"/>
  <c r="H65" i="2"/>
  <c r="H139" i="2"/>
  <c r="H233" i="2"/>
  <c r="H239" i="2"/>
  <c r="H658" i="2"/>
  <c r="H534" i="2"/>
  <c r="H527" i="2"/>
  <c r="H194" i="2"/>
  <c r="H112" i="2"/>
  <c r="H189" i="2"/>
  <c r="H251" i="2"/>
  <c r="H109" i="2"/>
  <c r="H306" i="2"/>
  <c r="H301" i="2"/>
  <c r="H761" i="2"/>
  <c r="H722" i="2"/>
  <c r="H518" i="2"/>
  <c r="H754" i="2"/>
  <c r="H197" i="2"/>
  <c r="H669" i="2"/>
  <c r="H685" i="2"/>
  <c r="H7" i="2"/>
  <c r="H472" i="2"/>
  <c r="H646" i="2"/>
  <c r="H213" i="2"/>
  <c r="H93" i="2"/>
  <c r="H639" i="2"/>
  <c r="H400" i="2"/>
  <c r="H50" i="2"/>
  <c r="H444" i="2"/>
  <c r="H159" i="2"/>
  <c r="H643" i="2"/>
  <c r="H567" i="2"/>
  <c r="H271" i="2"/>
  <c r="H22" i="2"/>
  <c r="H393" i="2"/>
  <c r="H171" i="2"/>
  <c r="H113" i="2"/>
  <c r="H442" i="2"/>
  <c r="H142" i="2"/>
  <c r="H174" i="2"/>
  <c r="H43" i="2"/>
  <c r="H99" i="2"/>
  <c r="H457" i="2"/>
  <c r="H554" i="2"/>
  <c r="H504" i="2"/>
  <c r="H80" i="2"/>
  <c r="H96" i="2"/>
  <c r="H528" i="2"/>
  <c r="H6" i="2"/>
  <c r="H177" i="2"/>
  <c r="H508" i="2"/>
  <c r="H269" i="2"/>
  <c r="H117" i="2"/>
  <c r="H428" i="2"/>
  <c r="H407" i="2"/>
  <c r="H148" i="2"/>
  <c r="H640" i="2"/>
  <c r="H650" i="2"/>
  <c r="H657" i="2"/>
  <c r="H664" i="2"/>
  <c r="H683" i="2"/>
  <c r="H695" i="2"/>
  <c r="H708" i="2"/>
  <c r="H741" i="2"/>
  <c r="H744" i="2"/>
  <c r="H765" i="2"/>
  <c r="H430" i="2"/>
  <c r="H66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494" i="2"/>
  <c r="H91" i="2"/>
  <c r="H215" i="2"/>
  <c r="H246" i="2"/>
  <c r="H243" i="2"/>
  <c r="H629" i="2"/>
  <c r="H217" i="2"/>
  <c r="H730" i="2"/>
  <c r="H218" i="2"/>
  <c r="H389" i="2"/>
  <c r="H505" i="2"/>
  <c r="H381" i="2"/>
  <c r="H449" i="2"/>
  <c r="H299" i="2"/>
  <c r="H458" i="2"/>
  <c r="H577" i="2"/>
  <c r="H694" i="2"/>
  <c r="H738" i="2"/>
  <c r="H129" i="2"/>
  <c r="H660" i="2"/>
  <c r="H122" i="2"/>
  <c r="H625" i="2"/>
  <c r="H509" i="2"/>
  <c r="H363" i="2"/>
  <c r="H258" i="2"/>
  <c r="H523" i="2"/>
  <c r="H725" i="2"/>
  <c r="H17" i="2"/>
  <c r="H210" i="2"/>
  <c r="H82" i="2"/>
  <c r="H153" i="2"/>
  <c r="H655" i="2"/>
  <c r="H235" i="2"/>
  <c r="H85" i="2"/>
  <c r="H234" i="2"/>
  <c r="H670" i="2"/>
  <c r="H163" i="2"/>
  <c r="H272" i="2"/>
  <c r="H686" i="2"/>
  <c r="H188" i="2"/>
  <c r="H632" i="2"/>
  <c r="H16" i="2"/>
  <c r="H623" i="2"/>
  <c r="H558" i="2"/>
  <c r="H330" i="2"/>
  <c r="H98" i="2"/>
  <c r="H5" i="2"/>
  <c r="H356" i="2"/>
  <c r="H102" i="2"/>
  <c r="H332" i="2"/>
  <c r="H398" i="2"/>
  <c r="H333" i="2"/>
  <c r="H421" i="2"/>
  <c r="H60" i="2"/>
  <c r="H266" i="2"/>
  <c r="H483" i="2"/>
  <c r="H90" i="2"/>
  <c r="H35" i="2"/>
  <c r="H94" i="2"/>
  <c r="H103" i="2"/>
  <c r="H531" i="2"/>
  <c r="H133" i="2"/>
  <c r="H465" i="2"/>
  <c r="H84" i="2"/>
  <c r="H563" i="2"/>
  <c r="H414" i="2"/>
  <c r="H568" i="2"/>
  <c r="H264" i="2"/>
  <c r="H579" i="2"/>
  <c r="H648" i="2"/>
  <c r="H652" i="2"/>
  <c r="H661" i="2"/>
  <c r="H682" i="2"/>
  <c r="H696" i="2"/>
  <c r="H703" i="2"/>
  <c r="H709" i="2"/>
  <c r="H742" i="2"/>
  <c r="H750" i="2"/>
  <c r="H88" i="2"/>
  <c r="H182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108" i="2"/>
</calcChain>
</file>

<file path=xl/sharedStrings.xml><?xml version="1.0" encoding="utf-8"?>
<sst xmlns="http://schemas.openxmlformats.org/spreadsheetml/2006/main" count="2470" uniqueCount="1642">
  <si>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</si>
  <si>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</si>
  <si>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</si>
  <si>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</si>
  <si>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</si>
  <si>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</si>
  <si>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</si>
  <si>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</si>
  <si>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</si>
  <si>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</si>
  <si>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</si>
  <si>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</si>
  <si>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</si>
  <si>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</si>
  <si>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</si>
  <si>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</si>
  <si>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</si>
  <si>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</si>
  <si>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</si>
  <si>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</si>
  <si>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</si>
  <si>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</si>
  <si>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</si>
  <si>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</si>
  <si>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</si>
  <si>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</si>
  <si>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</si>
  <si>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</si>
  <si>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</si>
  <si>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</si>
  <si>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</si>
  <si>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</si>
  <si>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40501810845252000079</t>
  </si>
  <si>
    <t>ГУ Банка России по ЦФО</t>
  </si>
  <si>
    <t>044525000</t>
  </si>
  <si>
    <t>Выбор получателя платежа</t>
  </si>
  <si>
    <t>{VO20100}</t>
  </si>
  <si>
    <t>СУММА</t>
  </si>
  <si>
    <t>С</t>
  </si>
  <si>
    <t>ПО</t>
  </si>
  <si>
    <t>НДС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</si>
  <si>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</si>
  <si>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</si>
  <si>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</si>
  <si>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</si>
  <si>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</si>
  <si>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</si>
  <si>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</si>
  <si>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</si>
  <si>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/>
  </si>
  <si>
    <t>ВБ/5/2-4;112755</t>
  </si>
  <si>
    <t>МГТУ им. Н.Э. Баумана</t>
  </si>
  <si>
    <t>ОТСКАНИРУЙТЕ ШТРИХ-КОД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</si>
  <si>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</si>
  <si>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</si>
  <si>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</si>
  <si>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</si>
  <si>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</si>
  <si>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</si>
  <si>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</si>
  <si>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</si>
  <si>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</si>
  <si>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</si>
  <si>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</si>
  <si>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</si>
  <si>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</si>
  <si>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</si>
  <si>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</si>
  <si>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</si>
  <si>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</si>
  <si>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</si>
  <si>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</si>
  <si>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</si>
  <si>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</si>
  <si>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</si>
  <si>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</si>
  <si>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</si>
  <si>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</si>
  <si>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</si>
  <si>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</si>
  <si>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</si>
  <si>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</si>
  <si>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</si>
  <si>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</si>
  <si>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</si>
  <si>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</si>
  <si>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</si>
  <si>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</si>
  <si>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</si>
  <si>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</si>
  <si>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</si>
  <si>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</si>
  <si>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</si>
  <si>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</si>
  <si>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</si>
  <si>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</si>
  <si>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</si>
  <si>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</si>
  <si>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</si>
  <si>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</si>
  <si>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</si>
  <si>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</si>
  <si>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</si>
  <si>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</si>
  <si>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</si>
  <si>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</si>
  <si>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</si>
  <si>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</si>
  <si>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</si>
  <si>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</si>
  <si>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</si>
  <si>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</si>
  <si>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</si>
  <si>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</si>
  <si>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</si>
  <si>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</si>
  <si>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</si>
  <si>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</si>
  <si>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</si>
  <si>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</si>
  <si>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</si>
  <si>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</si>
  <si>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</si>
  <si>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</si>
  <si>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</si>
  <si>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</si>
  <si>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</si>
  <si>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</si>
  <si>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</si>
  <si>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</si>
  <si>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</si>
  <si>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</si>
  <si>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</si>
  <si>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</si>
  <si>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</si>
  <si>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</si>
  <si>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</si>
  <si>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</si>
  <si>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</si>
  <si>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</si>
  <si>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</si>
  <si>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</si>
  <si>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</si>
  <si>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</si>
  <si>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</si>
  <si>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</si>
  <si>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</si>
  <si>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</si>
  <si>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</si>
  <si>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</si>
  <si>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</si>
  <si>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</si>
  <si>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</si>
  <si>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</si>
  <si>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</si>
  <si>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</si>
  <si>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</si>
  <si>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</si>
  <si>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</si>
  <si>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</si>
  <si>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</si>
  <si>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</si>
  <si>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</si>
  <si>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</si>
  <si>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</si>
  <si>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</si>
  <si>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</si>
  <si>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</si>
  <si>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</si>
  <si>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</si>
  <si>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</si>
  <si>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</si>
  <si>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</si>
  <si>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</si>
  <si>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</si>
  <si>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</si>
  <si>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</si>
  <si>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</si>
  <si>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</si>
  <si>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</si>
  <si>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</si>
  <si>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</si>
  <si>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</si>
  <si>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</si>
  <si>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</si>
  <si>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</si>
  <si>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</si>
  <si>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</si>
  <si>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</si>
  <si>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</si>
  <si>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</si>
  <si>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</si>
  <si>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</si>
  <si>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</si>
  <si>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</si>
  <si>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</si>
  <si>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</si>
  <si>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</si>
  <si>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</si>
  <si>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</si>
  <si>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</si>
  <si>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</si>
  <si>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</si>
  <si>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</si>
  <si>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</si>
  <si>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</si>
  <si>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</si>
  <si>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</si>
  <si>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</si>
  <si>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</si>
  <si>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</si>
  <si>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</si>
  <si>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</si>
  <si>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</si>
  <si>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</si>
  <si>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</si>
  <si>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</si>
  <si>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</si>
  <si>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</si>
  <si>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</si>
  <si>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</si>
  <si>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</si>
  <si>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</si>
  <si>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</si>
  <si>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</si>
  <si>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</si>
  <si>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</si>
  <si>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</si>
  <si>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</si>
  <si>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</si>
  <si>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</si>
  <si>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</si>
  <si>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</si>
  <si>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</si>
  <si>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</si>
  <si>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</si>
  <si>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</si>
  <si>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</si>
  <si>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</si>
  <si>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</si>
  <si>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</si>
  <si>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</si>
  <si>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</si>
  <si>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</si>
  <si>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</si>
  <si>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</si>
  <si>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</si>
  <si>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</si>
  <si>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</si>
  <si>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</si>
  <si>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</si>
  <si>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</si>
  <si>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</si>
  <si>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</si>
  <si>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</si>
  <si>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</si>
  <si>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</si>
  <si>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</si>
  <si>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</si>
  <si>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</si>
  <si>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</si>
  <si>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</si>
  <si>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</si>
  <si>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</si>
  <si>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</si>
  <si>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</si>
  <si>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</si>
  <si>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</si>
  <si>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</si>
  <si>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</si>
  <si>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</si>
  <si>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</si>
  <si>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</si>
  <si>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</si>
  <si>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</si>
  <si>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</si>
  <si>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</si>
  <si>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</si>
  <si>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</si>
  <si>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</si>
  <si>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</si>
  <si>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</si>
  <si>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</si>
  <si>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</si>
  <si>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</si>
  <si>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</si>
  <si>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</si>
  <si>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</si>
  <si>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</si>
  <si>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</si>
  <si>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</si>
  <si>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</si>
  <si>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</si>
  <si>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</si>
  <si>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</si>
  <si>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</si>
  <si>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</si>
  <si>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</si>
  <si>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</si>
  <si>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</si>
  <si>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</si>
  <si>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</si>
  <si>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</si>
  <si>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</si>
  <si>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</si>
  <si>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</si>
  <si>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</si>
  <si>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</si>
  <si>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</si>
  <si>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</si>
  <si>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</si>
  <si>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</si>
  <si>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</si>
  <si>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</si>
  <si>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</si>
  <si>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</si>
  <si>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</si>
  <si>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</si>
  <si>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</si>
  <si>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</si>
  <si>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</si>
  <si>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</si>
  <si>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</si>
  <si>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</si>
  <si>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</si>
  <si>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</si>
  <si>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</si>
  <si>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</si>
  <si>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</si>
  <si>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</si>
  <si>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</si>
  <si>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</si>
  <si>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</si>
  <si>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</si>
  <si>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</si>
  <si>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</si>
  <si>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</si>
  <si>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</si>
  <si>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</si>
  <si>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</si>
  <si>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</si>
  <si>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</si>
  <si>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</si>
  <si>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</si>
  <si>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</si>
  <si>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</si>
  <si>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</si>
  <si>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</si>
  <si>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</si>
  <si>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</si>
  <si>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</si>
  <si>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</si>
  <si>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</si>
  <si>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</si>
  <si>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</si>
  <si>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</si>
  <si>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</si>
  <si>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</si>
  <si>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</si>
  <si>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</si>
  <si>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</si>
  <si>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</si>
  <si>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</si>
  <si>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</si>
  <si>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</si>
  <si>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</si>
  <si>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</si>
  <si>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</si>
  <si>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</si>
  <si>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</si>
  <si>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</si>
  <si>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</si>
  <si>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</si>
  <si>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</si>
  <si>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</si>
  <si>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</si>
  <si>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</si>
  <si>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</si>
  <si>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</si>
  <si>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</si>
  <si>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</si>
  <si>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</si>
  <si>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</si>
  <si>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</si>
  <si>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</si>
  <si>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</si>
  <si>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</si>
  <si>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</si>
  <si>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</si>
  <si>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</si>
  <si>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</si>
  <si>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</si>
  <si>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</si>
  <si>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</si>
  <si>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</si>
  <si>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</si>
  <si>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</si>
  <si>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</si>
  <si>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</si>
  <si>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</si>
  <si>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</si>
  <si>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</si>
  <si>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</si>
  <si>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</si>
  <si>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</si>
  <si>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</si>
  <si>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</si>
  <si>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</si>
  <si>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</si>
  <si>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</si>
  <si>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</si>
  <si>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</si>
  <si>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</si>
  <si>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</si>
  <si>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</si>
  <si>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</si>
  <si>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</si>
  <si>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</si>
  <si>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</si>
  <si>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</si>
  <si>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</si>
  <si>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</si>
  <si>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</si>
  <si>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</si>
  <si>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</si>
  <si>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</si>
  <si>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</si>
  <si>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</si>
  <si>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</si>
  <si>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</si>
  <si>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</si>
  <si>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</si>
  <si>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</si>
  <si>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</si>
  <si>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</si>
  <si>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</si>
  <si>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</si>
  <si>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</si>
  <si>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</si>
  <si>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</si>
  <si>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</si>
  <si>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</si>
  <si>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</si>
  <si>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</si>
  <si>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</si>
  <si>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</si>
  <si>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</si>
  <si>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</si>
  <si>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</si>
  <si>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</si>
  <si>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</si>
  <si>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</si>
  <si>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</si>
  <si>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</si>
  <si>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</si>
  <si>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</si>
  <si>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</si>
  <si>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</si>
  <si>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</si>
  <si>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</si>
  <si>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</si>
  <si>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</si>
  <si>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</si>
  <si>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</si>
  <si>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</si>
  <si>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</si>
  <si>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</si>
  <si>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</si>
  <si>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</si>
  <si>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</si>
  <si>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</si>
  <si>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</si>
  <si>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</si>
  <si>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</si>
  <si>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</si>
  <si>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</si>
  <si>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</si>
  <si>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</si>
  <si>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</si>
  <si>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</si>
  <si>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</si>
  <si>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</si>
  <si>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</si>
  <si>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</si>
  <si>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</si>
  <si>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</si>
  <si>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</si>
  <si>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</si>
  <si>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</si>
  <si>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</si>
  <si>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</si>
  <si>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</si>
  <si>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</si>
  <si>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</si>
  <si>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</si>
  <si>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</si>
  <si>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</si>
  <si>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</si>
  <si>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</si>
  <si>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</si>
  <si>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</si>
  <si>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</si>
  <si>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</si>
  <si>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</si>
  <si>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</si>
  <si>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</si>
  <si>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</si>
  <si>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</si>
  <si>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</si>
  <si>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</si>
  <si>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</si>
  <si>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</si>
  <si>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</si>
  <si>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</si>
  <si>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</si>
  <si>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</si>
  <si>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</si>
  <si>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</si>
  <si>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</si>
  <si>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</si>
  <si>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</si>
  <si>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</si>
  <si>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</si>
  <si>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</si>
  <si>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</si>
  <si>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</si>
  <si>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</si>
  <si>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</si>
  <si>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</si>
  <si>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</si>
  <si>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</si>
  <si>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</si>
  <si>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</si>
  <si>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</si>
  <si>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</si>
  <si>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</si>
  <si>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</si>
  <si>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</si>
  <si>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</si>
  <si>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</si>
  <si>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</si>
  <si>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</si>
  <si>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</si>
  <si>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</si>
  <si>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</si>
  <si>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</si>
  <si>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</si>
  <si>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</si>
  <si>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</si>
  <si>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</si>
  <si>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</si>
  <si>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</si>
  <si>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</si>
  <si>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</si>
  <si>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</si>
  <si>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</si>
  <si>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</si>
  <si>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</si>
  <si>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</si>
  <si>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</si>
  <si>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</si>
  <si>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</si>
  <si>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</si>
  <si>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</si>
  <si>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</si>
  <si>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</si>
  <si>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</si>
  <si>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</si>
  <si>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</si>
  <si>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</si>
  <si>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</si>
  <si>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</si>
  <si>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</si>
  <si>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</si>
  <si>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</si>
  <si>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</si>
  <si>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</si>
  <si>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</si>
  <si>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</si>
  <si>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</si>
  <si>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</si>
  <si>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</si>
  <si>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</si>
  <si>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</si>
  <si>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</si>
  <si>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</si>
  <si>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</si>
  <si>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</si>
  <si>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</si>
  <si>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</si>
  <si>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</si>
  <si>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</si>
  <si>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</si>
  <si>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</si>
  <si>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</si>
  <si>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</si>
  <si>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</si>
  <si>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</si>
  <si>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</si>
  <si>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</si>
  <si>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</si>
  <si>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</si>
  <si>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</si>
  <si>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</si>
  <si>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</si>
  <si>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</si>
  <si>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</si>
  <si>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</si>
  <si>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</si>
  <si>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</si>
  <si>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</si>
  <si>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</si>
  <si>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</si>
  <si>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</si>
  <si>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</si>
  <si>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</si>
  <si>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</si>
  <si>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</si>
  <si>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</si>
  <si>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</si>
  <si>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</si>
  <si>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</si>
  <si>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</si>
  <si>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</si>
  <si>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</si>
  <si>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</si>
  <si>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</si>
  <si>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</si>
  <si>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</si>
  <si>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</si>
  <si>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</si>
  <si>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</si>
  <si>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</si>
  <si>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</si>
  <si>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</si>
  <si>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</si>
  <si>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</si>
  <si>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</si>
  <si>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</si>
  <si>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</si>
  <si>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</si>
  <si>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</si>
  <si>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</si>
  <si>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</si>
  <si>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</si>
  <si>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</si>
  <si>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</si>
  <si>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</si>
  <si>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</si>
  <si>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</si>
  <si>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</si>
  <si>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</si>
  <si>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</si>
  <si>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</si>
  <si>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</si>
  <si>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</si>
  <si>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</si>
  <si>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</si>
  <si>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</si>
  <si>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</si>
  <si>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</si>
  <si>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</si>
  <si>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</si>
  <si>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</si>
  <si>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</si>
  <si>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</si>
  <si>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</si>
  <si>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</si>
  <si>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</si>
  <si>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</si>
  <si>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</si>
  <si>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</si>
  <si>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</si>
  <si>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</si>
  <si>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</si>
  <si>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</si>
  <si>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</si>
  <si>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</si>
  <si>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</si>
  <si>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</si>
  <si>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</si>
  <si>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</si>
  <si>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</si>
  <si>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</si>
  <si>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</si>
  <si>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</si>
  <si>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</si>
  <si>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</si>
  <si>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</si>
  <si>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</si>
  <si>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</si>
  <si>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</si>
  <si>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</si>
  <si>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</si>
  <si>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</si>
  <si>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</si>
  <si>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</si>
  <si>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</si>
  <si>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</si>
  <si>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</si>
  <si>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</si>
  <si>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</si>
  <si>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</si>
  <si>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</si>
  <si>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</si>
  <si>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</si>
  <si>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</si>
  <si>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</si>
  <si>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</si>
  <si>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</si>
  <si>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</si>
  <si>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</si>
  <si>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</si>
  <si>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</si>
  <si>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</si>
  <si>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</si>
  <si>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</si>
  <si>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</si>
  <si>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</si>
  <si>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</si>
  <si>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</si>
  <si>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</si>
  <si>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</si>
  <si>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</si>
  <si>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</si>
  <si>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</si>
  <si>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</si>
  <si>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</si>
  <si>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</si>
  <si>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</si>
  <si>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</si>
  <si>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</si>
  <si>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</si>
  <si>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</si>
  <si>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</si>
  <si>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</si>
  <si>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</si>
  <si>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</si>
  <si>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</si>
  <si>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</si>
  <si>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</si>
  <si>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</si>
  <si>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</si>
  <si>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</si>
  <si>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</si>
  <si>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</si>
  <si>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</si>
  <si>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</si>
  <si>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</si>
  <si>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</si>
  <si>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</si>
  <si>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</si>
  <si>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</si>
  <si>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</si>
  <si>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</si>
  <si>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</si>
  <si>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</si>
  <si>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</si>
  <si>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</si>
  <si>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</si>
  <si>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</si>
  <si>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</si>
  <si>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</si>
  <si>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</si>
  <si>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</si>
  <si>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</si>
  <si>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</si>
  <si>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</si>
  <si>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</si>
  <si>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</si>
  <si>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</si>
  <si>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</si>
  <si>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</si>
  <si>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</si>
  <si>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</si>
  <si>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</si>
  <si>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</si>
  <si>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</si>
  <si>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</si>
  <si>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</si>
  <si>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</si>
  <si>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</si>
  <si>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</si>
  <si>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</si>
  <si>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</si>
  <si>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</si>
  <si>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</si>
  <si>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</si>
  <si>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</si>
  <si>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</si>
  <si>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</si>
  <si>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</si>
  <si>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</si>
  <si>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</si>
  <si>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</si>
  <si>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</si>
  <si>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</si>
  <si>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</si>
  <si>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</si>
  <si>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</si>
  <si>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</si>
  <si>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</si>
  <si>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</si>
  <si>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</si>
  <si>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</si>
  <si>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</si>
  <si>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</si>
  <si>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</si>
  <si>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</si>
  <si>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</si>
  <si>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</si>
  <si>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</si>
  <si>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</si>
  <si>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</si>
  <si>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</si>
  <si>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</si>
  <si>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</si>
  <si>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</si>
  <si>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</si>
  <si>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</si>
  <si>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</si>
  <si>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</si>
  <si>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</si>
  <si>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</si>
  <si>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</si>
  <si>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</si>
  <si>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</si>
  <si>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</si>
  <si>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</si>
  <si>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</si>
  <si>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</si>
  <si>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</si>
  <si>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</si>
  <si>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</si>
  <si>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</si>
  <si>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</si>
  <si>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</si>
  <si>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</si>
  <si>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</si>
  <si>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</si>
  <si>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</si>
  <si>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</si>
  <si>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</si>
  <si>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</si>
  <si>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</si>
  <si>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</si>
  <si>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</si>
  <si>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</si>
  <si>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</si>
  <si>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</si>
  <si>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</si>
  <si>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</si>
  <si>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</si>
  <si>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</si>
  <si>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</si>
  <si>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</si>
  <si>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</si>
  <si>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</si>
  <si>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</si>
  <si>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</si>
  <si>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</si>
  <si>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</si>
  <si>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</si>
  <si>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</si>
  <si>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</si>
  <si>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</si>
  <si>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</si>
  <si>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</si>
  <si>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</si>
  <si>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</si>
  <si>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</si>
  <si>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</si>
  <si>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</si>
  <si>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</si>
  <si>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</si>
  <si>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</si>
  <si>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</si>
  <si>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</si>
  <si>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</si>
  <si>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</si>
  <si>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</si>
  <si>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</si>
  <si>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</si>
  <si>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</si>
  <si>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</si>
  <si>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</si>
  <si>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</si>
  <si>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</si>
  <si>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</si>
  <si>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</si>
  <si>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</si>
  <si>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</si>
  <si>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</si>
  <si>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</si>
  <si>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</si>
  <si>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</si>
  <si>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</si>
  <si>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</si>
  <si>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</si>
  <si>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</si>
  <si>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</si>
  <si>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</si>
  <si>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</si>
  <si>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</si>
  <si>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</si>
  <si>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</si>
  <si>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</si>
  <si>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</si>
  <si>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</si>
  <si>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</si>
  <si>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</si>
  <si>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</si>
  <si>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</si>
  <si>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</si>
  <si>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</si>
  <si>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</si>
  <si>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</si>
  <si>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</si>
  <si>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</si>
  <si>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</si>
  <si>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</si>
  <si>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</si>
  <si>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</si>
  <si>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</si>
  <si>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</si>
  <si>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</si>
  <si>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</si>
  <si>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</si>
  <si>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</si>
  <si>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</si>
  <si>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</si>
  <si>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</si>
  <si>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</si>
  <si>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</si>
  <si>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</si>
  <si>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</si>
  <si>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</si>
  <si>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</si>
  <si>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</si>
  <si>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</si>
  <si>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</si>
  <si>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</si>
  <si>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</si>
  <si>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</si>
  <si>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</si>
  <si>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</si>
  <si>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</si>
  <si>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</si>
  <si>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</si>
  <si>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</si>
  <si>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</si>
  <si>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</si>
  <si>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</si>
  <si>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</si>
  <si>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</si>
  <si>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</si>
  <si>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</si>
  <si>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</si>
  <si>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</si>
  <si>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</si>
  <si>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</si>
  <si>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</si>
  <si>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</si>
  <si>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</si>
  <si>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</si>
  <si>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</si>
  <si>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</si>
  <si>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</si>
  <si>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</si>
  <si>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</si>
  <si>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</si>
  <si>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</si>
  <si>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</si>
  <si>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</si>
  <si>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</si>
  <si>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</si>
  <si>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</si>
  <si>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</si>
  <si>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</si>
  <si>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6-18Р261/18</t>
  </si>
  <si>
    <t>Радьков Марк Сергеевич: 226604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</si>
  <si>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</si>
  <si>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</si>
  <si>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</si>
  <si>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</si>
  <si>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</si>
  <si>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</si>
  <si>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</si>
  <si>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</si>
  <si>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</si>
  <si>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</si>
  <si>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</si>
  <si>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</si>
  <si>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</si>
  <si>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</si>
  <si>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</si>
  <si>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</si>
  <si>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</si>
  <si>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</si>
  <si>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</si>
  <si>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</si>
  <si>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</si>
  <si>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</si>
  <si>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</si>
  <si>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</si>
  <si>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</si>
  <si>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</si>
  <si>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</si>
  <si>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</si>
  <si>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</si>
  <si>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</si>
  <si>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</si>
  <si>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</si>
  <si>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</si>
  <si>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</si>
  <si>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</si>
  <si>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</si>
  <si>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</si>
  <si>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</si>
  <si>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</si>
  <si>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</si>
  <si>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</si>
  <si>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</si>
  <si>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</si>
  <si>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</si>
  <si>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</si>
  <si>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</si>
  <si>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</si>
  <si>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</si>
  <si>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</si>
  <si>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</si>
  <si>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</si>
  <si>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</si>
  <si>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</si>
  <si>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</si>
  <si>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</si>
  <si>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</si>
  <si>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</si>
  <si>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</si>
  <si>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</si>
  <si>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</si>
  <si>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</si>
  <si>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</si>
  <si>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</si>
  <si>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</si>
  <si>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</si>
  <si>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</si>
  <si>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</si>
  <si>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</si>
  <si>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</si>
  <si>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</si>
  <si>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</si>
  <si>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</si>
  <si>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</si>
  <si>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</si>
  <si>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</si>
  <si>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</si>
  <si>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</si>
  <si>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</si>
  <si>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</si>
  <si>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</si>
  <si>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</si>
  <si>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</si>
  <si>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</si>
  <si>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</si>
  <si>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</si>
  <si>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</si>
  <si>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</si>
  <si>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</si>
  <si>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</si>
  <si>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</si>
  <si>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</si>
  <si>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</si>
  <si>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</si>
  <si>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</si>
  <si>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</si>
  <si>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</si>
  <si>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</si>
  <si>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</si>
  <si>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</si>
  <si>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</si>
  <si>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</si>
  <si>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</si>
  <si>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</si>
  <si>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</si>
  <si>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</si>
  <si>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</si>
  <si>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</si>
  <si>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</si>
  <si>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</si>
  <si>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</si>
  <si>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</si>
  <si>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</si>
  <si>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</si>
  <si>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</si>
  <si>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</si>
  <si>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</si>
  <si>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</si>
  <si>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</si>
  <si>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</si>
  <si>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</si>
  <si>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</si>
  <si>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</si>
  <si>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</si>
  <si>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</si>
  <si>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</si>
  <si>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</si>
  <si>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</si>
  <si>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</si>
  <si>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</si>
  <si>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</si>
  <si>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</si>
  <si>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</si>
  <si>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</si>
  <si>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</si>
  <si>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</si>
  <si>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</si>
  <si>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</si>
  <si>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</si>
  <si>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</si>
  <si>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</si>
  <si>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</si>
  <si>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</si>
  <si>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</si>
  <si>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</si>
  <si>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</si>
  <si>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</si>
  <si>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</si>
  <si>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</si>
  <si>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</si>
  <si>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</si>
  <si>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</si>
  <si>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</si>
  <si>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</si>
  <si>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</si>
  <si>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</si>
  <si>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</si>
  <si>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</si>
  <si>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</si>
  <si>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</si>
  <si>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</si>
  <si>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</si>
  <si>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</si>
  <si>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</si>
  <si>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</si>
  <si>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</si>
  <si>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</si>
  <si>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</si>
  <si>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</si>
  <si>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</si>
  <si>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</si>
  <si>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</si>
  <si>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</si>
  <si>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</si>
  <si>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</si>
  <si>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</si>
  <si>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</si>
  <si>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</si>
  <si>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</si>
  <si>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</si>
  <si>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</si>
  <si>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</si>
  <si>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</si>
  <si>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</si>
  <si>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</si>
  <si>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</si>
  <si>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</si>
  <si>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</si>
  <si>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</si>
  <si>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</si>
  <si>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</si>
  <si>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</si>
  <si>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</si>
  <si>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</si>
  <si>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</si>
  <si>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</si>
  <si>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</si>
  <si>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</si>
  <si>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</si>
  <si>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</si>
  <si>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</si>
  <si>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</si>
  <si>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</si>
  <si>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</si>
  <si>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</si>
  <si>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</si>
  <si>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</si>
  <si>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</si>
  <si>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</si>
  <si>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</si>
  <si>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</si>
  <si>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</si>
  <si>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</si>
  <si>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</si>
  <si>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</si>
  <si>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</si>
  <si>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</si>
  <si>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</si>
  <si>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</si>
  <si>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</si>
  <si>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</si>
  <si>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</si>
  <si>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</si>
  <si>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00000000000000000130</t>
  </si>
  <si>
    <t>003</t>
  </si>
  <si>
    <t>РЕЗИДЕНТЫ - ПЛАТНЫЕ УСЛУГИ</t>
  </si>
  <si>
    <t>6-19Р001/2019</t>
  </si>
  <si>
    <t>Аликин Николай Анатольевич</t>
  </si>
  <si>
    <t>6-19Р075/2019</t>
  </si>
  <si>
    <t>Алмаева Елена Алексеевна</t>
  </si>
  <si>
    <t>6-19Р008/2019</t>
  </si>
  <si>
    <t>Астафьев Аким Григорьевич</t>
  </si>
  <si>
    <t>6-19Р139/2019</t>
  </si>
  <si>
    <t>Аюпова Ольга Сергеевна</t>
  </si>
  <si>
    <t>6-19Р045/2019</t>
  </si>
  <si>
    <t>Балашов Павел Олегович</t>
  </si>
  <si>
    <t>6-19Р076/2019</t>
  </si>
  <si>
    <t>Баранчиков Владислав Вячеславович</t>
  </si>
  <si>
    <t>6-19Р052/2019</t>
  </si>
  <si>
    <t xml:space="preserve">Беззубиков Валерий </t>
  </si>
  <si>
    <t>6-19Р015/2019</t>
  </si>
  <si>
    <t>Беляев Валерий Алексеевич</t>
  </si>
  <si>
    <t>6-19Р077/2019</t>
  </si>
  <si>
    <t>Бетуганов Юрий Антемырканович</t>
  </si>
  <si>
    <t>6-19Р106/2019</t>
  </si>
  <si>
    <t>Боженко Дмитрий Владимирович</t>
  </si>
  <si>
    <t>6-19Р078/2019</t>
  </si>
  <si>
    <t>Бормотов Андрей Константинович</t>
  </si>
  <si>
    <t>6-19Р108/2019</t>
  </si>
  <si>
    <t>Бражникова Надежда Антоновна</t>
  </si>
  <si>
    <t>6-19Р150/2019</t>
  </si>
  <si>
    <t>Бурцев Егор Сергеевич</t>
  </si>
  <si>
    <t>6-19Р080/2019</t>
  </si>
  <si>
    <t>Галлямова Диана Маратовна</t>
  </si>
  <si>
    <t>6-19Р081/2019</t>
  </si>
  <si>
    <t>Гафаров Булат Рустемович</t>
  </si>
  <si>
    <t>6-19Р082/2019</t>
  </si>
  <si>
    <t>Гнилицкий Денис Васильевич</t>
  </si>
  <si>
    <t>6-19Р026/2019</t>
  </si>
  <si>
    <t>Головнов Антон Максимович</t>
  </si>
  <si>
    <t>6-19Р040/2019</t>
  </si>
  <si>
    <t>Горшихин Николай Сергеевич</t>
  </si>
  <si>
    <t>6-19Р109/2019</t>
  </si>
  <si>
    <t>Готовцев Артём Евгеньевич</t>
  </si>
  <si>
    <t>6-19Р083/2019</t>
  </si>
  <si>
    <t>Долгачев Даниил Владимирович</t>
  </si>
  <si>
    <t>6-19Р043/2019</t>
  </si>
  <si>
    <t>Домнина Ольга Александровна</t>
  </si>
  <si>
    <t>6-19Р084/2019</t>
  </si>
  <si>
    <t>Дорофеев Александр Николаевич</t>
  </si>
  <si>
    <t>6-19Р156/2019</t>
  </si>
  <si>
    <t>Егоров Алексей Сергеевич</t>
  </si>
  <si>
    <t>6-19Р140/2019</t>
  </si>
  <si>
    <t>Емельянов Денис Павлович</t>
  </si>
  <si>
    <t>6-19Р085/2019</t>
  </si>
  <si>
    <t>Емкужев Анзор Мухадинович</t>
  </si>
  <si>
    <t>6-19Р086/2019</t>
  </si>
  <si>
    <t>Жаренков Никита Андреевич</t>
  </si>
  <si>
    <t>6-19Р011/2019</t>
  </si>
  <si>
    <t>Журавлев Николай Вадимович</t>
  </si>
  <si>
    <t>6-19Р112/2019</t>
  </si>
  <si>
    <t>Зайковская Анастасия Владимировна</t>
  </si>
  <si>
    <t>6-19Р046/2019</t>
  </si>
  <si>
    <t>Закунов Андрей Андреевич</t>
  </si>
  <si>
    <t>6-19Р047/2019</t>
  </si>
  <si>
    <t>Запсельский Виктор Николаевич</t>
  </si>
  <si>
    <t>6-19Р113/2019</t>
  </si>
  <si>
    <t>Захарченко Семен Вадимович</t>
  </si>
  <si>
    <t>6-19Р088/2019</t>
  </si>
  <si>
    <t>Золин Александр Олегович</t>
  </si>
  <si>
    <t>6-19Р114/2019</t>
  </si>
  <si>
    <t>Зотов Даниил Александрович</t>
  </si>
  <si>
    <t>6-19Р048/2019</t>
  </si>
  <si>
    <t>Казанцев Алексей Игоревич</t>
  </si>
  <si>
    <t>6-19Р090/2019</t>
  </si>
  <si>
    <t>Калинин Александр Васильевич</t>
  </si>
  <si>
    <t>6-19Р002/2019</t>
  </si>
  <si>
    <t>Калистратова Александра Романовна</t>
  </si>
  <si>
    <t>6-19Р049/2019</t>
  </si>
  <si>
    <t>Каримова София Фархадовна</t>
  </si>
  <si>
    <t>6-19Р050/2019</t>
  </si>
  <si>
    <t>Киселев Сергей Борисович</t>
  </si>
  <si>
    <t>6-19Р141/2019</t>
  </si>
  <si>
    <t>Клочкова Алина Евгеньевна</t>
  </si>
  <si>
    <t>6-19Р142/2019</t>
  </si>
  <si>
    <t>Козицын Семен Денисович</t>
  </si>
  <si>
    <t>6-19Р028/2019</t>
  </si>
  <si>
    <t>Колесов Ярослав Дмитриевич</t>
  </si>
  <si>
    <t>6-19Р004/2019</t>
  </si>
  <si>
    <t>Комиссарова Анастасия Николаевна</t>
  </si>
  <si>
    <t>6-19Р159/2019</t>
  </si>
  <si>
    <t>Конов Антон Викторович</t>
  </si>
  <si>
    <t>6-19Р051/2019</t>
  </si>
  <si>
    <t>Копачев Даниил Дмитриевич</t>
  </si>
  <si>
    <t>6-19Р143/2019</t>
  </si>
  <si>
    <t>Красильников Максим Константинович</t>
  </si>
  <si>
    <t>6-19Р116/2019</t>
  </si>
  <si>
    <t>Крыштоп Александр Игоревич</t>
  </si>
  <si>
    <t>6-19Р053/2019</t>
  </si>
  <si>
    <t>Кудрявцев Александр Юрьевич</t>
  </si>
  <si>
    <t>6-19Р054/2019</t>
  </si>
  <si>
    <t>Кузнецов Даниил Дмитриевич</t>
  </si>
  <si>
    <t>6-19Р162/2019</t>
  </si>
  <si>
    <t>Кутепов Никита Сергеевич</t>
  </si>
  <si>
    <t>6-19Р029/2019</t>
  </si>
  <si>
    <t>Кучин Илья Петрович</t>
  </si>
  <si>
    <t>6-19Р118/2019</t>
  </si>
  <si>
    <t>Кычакова Полина Александровна</t>
  </si>
  <si>
    <t>6-19Р055/2019</t>
  </si>
  <si>
    <t>Латыпов Родион Алексеевич</t>
  </si>
  <si>
    <t>6-19Р030/2019</t>
  </si>
  <si>
    <t>Лебедев Владислав Александрович</t>
  </si>
  <si>
    <t>6-19Р056/2019</t>
  </si>
  <si>
    <t>Левищев Иван Александрович</t>
  </si>
  <si>
    <t>6-19Р014/2019</t>
  </si>
  <si>
    <t>Леонов Александр Олегович</t>
  </si>
  <si>
    <t>6-19Р173/2019</t>
  </si>
  <si>
    <t>Лускин Егор Евгеньевич</t>
  </si>
  <si>
    <t>6-19Р119/2019</t>
  </si>
  <si>
    <t>Ляхов Даниил Евгеньевич</t>
  </si>
  <si>
    <t>6-19Р163/2019</t>
  </si>
  <si>
    <t>Магомедов Зайнутдин Арсланович</t>
  </si>
  <si>
    <t>6-19Р120/2019</t>
  </si>
  <si>
    <t>Магомедов Саид Джапарович</t>
  </si>
  <si>
    <t>6-19Р057/2019</t>
  </si>
  <si>
    <t>Макарова Ольга Павловна</t>
  </si>
  <si>
    <t>6-19Р058/2019</t>
  </si>
  <si>
    <t>Максименко Юлия Игоревна</t>
  </si>
  <si>
    <t>6-19Р121/2019</t>
  </si>
  <si>
    <t>Максимова Елизавета Геннадьевна</t>
  </si>
  <si>
    <t>6-19Р059/2019</t>
  </si>
  <si>
    <t>Манюшин Илья Григорьевич</t>
  </si>
  <si>
    <t>6-19Р005/2019</t>
  </si>
  <si>
    <t>Марадудина Вероника Валерьевна</t>
  </si>
  <si>
    <t>6-19Р095/2019</t>
  </si>
  <si>
    <t>Масленников Артем Кириллович</t>
  </si>
  <si>
    <t>6-19Р144/2019</t>
  </si>
  <si>
    <t>Мешалкин Марк Андреевич</t>
  </si>
  <si>
    <t>6-19Р123/2019</t>
  </si>
  <si>
    <t>Минина Дарья Николаевна</t>
  </si>
  <si>
    <t>6-19Р124/2019</t>
  </si>
  <si>
    <t>Морозов Александр Юрьевич</t>
  </si>
  <si>
    <t>6-19Р096/2019</t>
  </si>
  <si>
    <t>Моршанский Владислав Сергеевич</t>
  </si>
  <si>
    <t>6-19Р031/2019</t>
  </si>
  <si>
    <t>Москвина Виктория Владимировна</t>
  </si>
  <si>
    <t>6-19Р097/2019</t>
  </si>
  <si>
    <t>Насырова Римма Дамировна</t>
  </si>
  <si>
    <t>6-19Р098/2019</t>
  </si>
  <si>
    <t>Наурзалиев Данияр Махмутович</t>
  </si>
  <si>
    <t>6-19Р062/2019</t>
  </si>
  <si>
    <t>Никуленкова Олеся Вячеславовна</t>
  </si>
  <si>
    <t>6-19Р145/2019</t>
  </si>
  <si>
    <t>Новиков Антон Александрович</t>
  </si>
  <si>
    <t>6-19Р063/2019</t>
  </si>
  <si>
    <t>Нягу Никита Валерьевич</t>
  </si>
  <si>
    <t>6-19Р164/2019</t>
  </si>
  <si>
    <t>Оганесян Милена Арсеновна</t>
  </si>
  <si>
    <t>6-19Р064/2019</t>
  </si>
  <si>
    <t>Озеров Александр Сергеевич</t>
  </si>
  <si>
    <t>6-19Р165/2019</t>
  </si>
  <si>
    <t>Очиров Бадма Юрьевич</t>
  </si>
  <si>
    <t>6-19Р174/2019</t>
  </si>
  <si>
    <t>Ошоров Саян Кимович</t>
  </si>
  <si>
    <t>6-19Р065/2019</t>
  </si>
  <si>
    <t>Партола Денис Алексеевич</t>
  </si>
  <si>
    <t>6-19Р066/2019</t>
  </si>
  <si>
    <t>Полякова Алиса Андреевна</t>
  </si>
  <si>
    <t>6-19Р016/2019</t>
  </si>
  <si>
    <t>Поремов Евгений Сергеевич</t>
  </si>
  <si>
    <t>6-19Р100/2019</t>
  </si>
  <si>
    <t>Почечуев Виктор Андреевич</t>
  </si>
  <si>
    <t>6-19Р102/2019</t>
  </si>
  <si>
    <t>Ратанова Ксения Владимировна</t>
  </si>
  <si>
    <t>6-19Р175/2019</t>
  </si>
  <si>
    <t>Рахматуллин Данил Дмитриевич</t>
  </si>
  <si>
    <t>6-19Р103/2019</t>
  </si>
  <si>
    <t>Рыбалко Никита Сергеевич</t>
  </si>
  <si>
    <t>6-19Р067/2019</t>
  </si>
  <si>
    <t>Савостьянов Василий Александрович</t>
  </si>
  <si>
    <t>6-19Р127/2019</t>
  </si>
  <si>
    <t>Самойлов Арсений Альбертович</t>
  </si>
  <si>
    <t>6-19Р034/2019</t>
  </si>
  <si>
    <t>Семченок Всеволод Владимирович</t>
  </si>
  <si>
    <t>6-19Р020/2019</t>
  </si>
  <si>
    <t>Смирнов Дмитрий Александрович</t>
  </si>
  <si>
    <t>6-19Р070/2019</t>
  </si>
  <si>
    <t>Смирнова Дарья Вадимовна</t>
  </si>
  <si>
    <t>6-19Р167/2019</t>
  </si>
  <si>
    <t>Степанов Никита Николаевич</t>
  </si>
  <si>
    <t>6-19Р177/2019</t>
  </si>
  <si>
    <t>Тихомиров Степан Александрович</t>
  </si>
  <si>
    <t>6-19Р149/2019</t>
  </si>
  <si>
    <t>Товкань Василина Андреевна</t>
  </si>
  <si>
    <t>6-19Р104/2019</t>
  </si>
  <si>
    <t>Фархутдинова Карина Ильдаровна</t>
  </si>
  <si>
    <t>6-19Р035/2019</t>
  </si>
  <si>
    <t>Фролов Вальдемар Дмитриевич</t>
  </si>
  <si>
    <t>6-19Р071/2019</t>
  </si>
  <si>
    <t>Чернышов Сергей Андреевич</t>
  </si>
  <si>
    <t>6-19Р072/2019</t>
  </si>
  <si>
    <t>Чуприн Артем Александрович</t>
  </si>
  <si>
    <t>6-19Р036/2019</t>
  </si>
  <si>
    <t>Шепелев Александр Михайлович</t>
  </si>
  <si>
    <t>6-19Р132/2019</t>
  </si>
  <si>
    <t>Шипелев Антон Андреевич</t>
  </si>
  <si>
    <t>6-19Р074/2019</t>
  </si>
  <si>
    <t>Шишлов Михаил Андреевич</t>
  </si>
  <si>
    <t>6-19Р037/2019</t>
  </si>
  <si>
    <t>Щеглов Андрей Сергеевич</t>
  </si>
  <si>
    <t>6-19Р138/2019</t>
  </si>
  <si>
    <t xml:space="preserve">Эсен Эрай </t>
  </si>
  <si>
    <t>6-19Р184/2019</t>
  </si>
  <si>
    <t>Азевич Марк Павлович</t>
  </si>
  <si>
    <t>6-19Р209/2019</t>
  </si>
  <si>
    <t>Аллахвердиев Джейхун Али оглы</t>
  </si>
  <si>
    <t>6-19Р212/2019</t>
  </si>
  <si>
    <t>Аушев Муслим Магометович</t>
  </si>
  <si>
    <t>6-19Р217/2019</t>
  </si>
  <si>
    <t>Бровкин Василий Васильевич</t>
  </si>
  <si>
    <t>6-19Р180/2019</t>
  </si>
  <si>
    <t>Бурангулов Никита Сергеевич</t>
  </si>
  <si>
    <t>6-19Р185/2019</t>
  </si>
  <si>
    <t>Васильев Михаил Евгеньевич</t>
  </si>
  <si>
    <t>6-19Р220/2019</t>
  </si>
  <si>
    <t>Ватутин Илья Андреевич</t>
  </si>
  <si>
    <t>6-19Р179/2019</t>
  </si>
  <si>
    <t>Габбасов Асылхан Каирболатулы</t>
  </si>
  <si>
    <t>6-19Р181/2019</t>
  </si>
  <si>
    <t>Горожанкин Захар Владимирович</t>
  </si>
  <si>
    <t>6-19Р190/2019</t>
  </si>
  <si>
    <t>Давлетбердина Лейсан Ильфатовна</t>
  </si>
  <si>
    <t>6-19Р229/2019</t>
  </si>
  <si>
    <t>Дунайцев Александр Иванович</t>
  </si>
  <si>
    <t>6-19Р230/2019</t>
  </si>
  <si>
    <t>Егоршин Матвей Ильич</t>
  </si>
  <si>
    <t>6-19Р232/2019</t>
  </si>
  <si>
    <t>Ерошина Дарья Павловна</t>
  </si>
  <si>
    <t>6-19Р191/2019</t>
  </si>
  <si>
    <t>Згерский Илья Евгеньевич</t>
  </si>
  <si>
    <t>6-19Р236/2019</t>
  </si>
  <si>
    <t>Кипоть Данила Вадимович</t>
  </si>
  <si>
    <t>6-19Р195/2019</t>
  </si>
  <si>
    <t>Куимов Алексей Константинович</t>
  </si>
  <si>
    <t>6-19Р249/2019</t>
  </si>
  <si>
    <t>Никульшин Сергей Александрович</t>
  </si>
  <si>
    <t>6-19Р250/2019</t>
  </si>
  <si>
    <t>Новицкий Борис Андреевич</t>
  </si>
  <si>
    <t>6-19Р199/2019</t>
  </si>
  <si>
    <t>Прохоров Владимир Эдуардович</t>
  </si>
  <si>
    <t>6-19Р200/2019</t>
  </si>
  <si>
    <t>Прохоров Давид Артемович</t>
  </si>
  <si>
    <t>6-19Р203/2019</t>
  </si>
  <si>
    <t>Удовик Иван Андреевич</t>
  </si>
  <si>
    <t>6-19Р696/2019</t>
  </si>
  <si>
    <t>Чернышева Елизавета Андреевна</t>
  </si>
  <si>
    <t>6-19РМ065/2019</t>
  </si>
  <si>
    <t>Алексеева Анна  Андреевна</t>
  </si>
  <si>
    <t>6-19РМ021/2019</t>
  </si>
  <si>
    <t>Беленчук Родион  Леонидович</t>
  </si>
  <si>
    <t>6-19РМ066/2019</t>
  </si>
  <si>
    <t>Бирюков Алексей  Сергеевич</t>
  </si>
  <si>
    <t>6-19РМ046/2019</t>
  </si>
  <si>
    <t>Викулин Сергей  Дмитриевич</t>
  </si>
  <si>
    <t>6-19РМ048/2019</t>
  </si>
  <si>
    <t>Гарифуллин Тимур  Талгатович</t>
  </si>
  <si>
    <t>6-19РМ022/2019</t>
  </si>
  <si>
    <t>Дворецкая Малика  Ийсаевна</t>
  </si>
  <si>
    <t>6-19РМ023/2019</t>
  </si>
  <si>
    <t>Дворецкий Владимир  Владимирович</t>
  </si>
  <si>
    <t>6-19РМ070/2019</t>
  </si>
  <si>
    <t>Ерин Дмитрий  Владимирович</t>
  </si>
  <si>
    <t>6-19РМ072/2019</t>
  </si>
  <si>
    <t>Кравцов Максим  Андреевич</t>
  </si>
  <si>
    <t>6-19РМ056/2019</t>
  </si>
  <si>
    <t>Мигранов Рустам  Рамилевич</t>
  </si>
  <si>
    <t>6-19РМ012/2019</t>
  </si>
  <si>
    <t>Мозгунова Анастасия  Сергеевна</t>
  </si>
  <si>
    <t>6-19РМ057/2019</t>
  </si>
  <si>
    <t>Муратов Кирилл  Леонидович</t>
  </si>
  <si>
    <t>6-19РМ074/2019</t>
  </si>
  <si>
    <t>Мухутдинов Эдуард  Альбертович</t>
  </si>
  <si>
    <t>6-19РМ041/2019</t>
  </si>
  <si>
    <t>Привалова Екатерина  Германовна</t>
  </si>
  <si>
    <t>6-19РМ076/2019</t>
  </si>
  <si>
    <t>Ролдугин Григорий  Алексеевич</t>
  </si>
  <si>
    <t>6-19РМ014/2019</t>
  </si>
  <si>
    <t>Сингур Алексей  Витальевич</t>
  </si>
  <si>
    <t>6-19РМ079/2019</t>
  </si>
  <si>
    <t>Химочкина Мария  Владимировна</t>
  </si>
  <si>
    <t>6-19РМ083/2019</t>
  </si>
  <si>
    <t>Шпичко Владимир  Дмитриевич</t>
  </si>
  <si>
    <t>6-19ММ104/2019</t>
  </si>
  <si>
    <t>Худобердин Никита Игоревич</t>
  </si>
  <si>
    <t>6-19ММ001/2019</t>
  </si>
  <si>
    <t>Авдейчиков Дмирий Андреевич</t>
  </si>
  <si>
    <t>6-19ММ006/2019</t>
  </si>
  <si>
    <t>Аносов Владислав Вячеславович</t>
  </si>
  <si>
    <t>6-19мм095/2019</t>
  </si>
  <si>
    <t>Спицына Мария Владимировна</t>
  </si>
  <si>
    <t>6-19мм090/2019</t>
  </si>
  <si>
    <t>Самойлова Арина Сергеевна</t>
  </si>
  <si>
    <t>6-19мм060/2019</t>
  </si>
  <si>
    <t>Лушкин Дмитрий Сергеевич</t>
  </si>
  <si>
    <t>6-14М328/2019</t>
  </si>
  <si>
    <t>Шаталин  Алексей Сергеевич</t>
  </si>
  <si>
    <t>6-19мм041/2019</t>
  </si>
  <si>
    <t>Иванов Егор Владимирович</t>
  </si>
  <si>
    <t>6-19мм059/2019</t>
  </si>
  <si>
    <t>Лубянский Артем Олегович</t>
  </si>
  <si>
    <t>6-17М046/2019</t>
  </si>
  <si>
    <t>Астахов Иван Сергеевич</t>
  </si>
  <si>
    <t>6-19РМ009/2019</t>
  </si>
  <si>
    <t>Деева Маргарита Андреевна</t>
  </si>
  <si>
    <t>6-19РМ031/2019</t>
  </si>
  <si>
    <t>Власевский Владимир Николаевич</t>
  </si>
  <si>
    <t>6-17М239/2019</t>
  </si>
  <si>
    <t>Андрющенко Артур Павлович</t>
  </si>
  <si>
    <t>6-19мм076/2019</t>
  </si>
  <si>
    <t>Нахушева Алёна Суфьяновна</t>
  </si>
  <si>
    <t>Игнатов Павел Ильич</t>
  </si>
  <si>
    <t>6-19ММ044/2019</t>
  </si>
  <si>
    <t>6-19Ю010/2019</t>
  </si>
  <si>
    <t>Леонова Елизавета Геннадьевна</t>
  </si>
  <si>
    <t>6-19ИР22/2019</t>
  </si>
  <si>
    <t xml:space="preserve">Цзян Цзиньлун </t>
  </si>
  <si>
    <t>6-19ИР20/2019</t>
  </si>
  <si>
    <t xml:space="preserve">СУ Цзяци </t>
  </si>
  <si>
    <t>6-19ИР21/2019</t>
  </si>
  <si>
    <t xml:space="preserve">Чжао Пэн </t>
  </si>
  <si>
    <t>6-19ИР23/2019</t>
  </si>
  <si>
    <t xml:space="preserve">У Сивэй </t>
  </si>
  <si>
    <t>6-19ИР24/2019</t>
  </si>
  <si>
    <t xml:space="preserve">Ван Тяньци </t>
  </si>
  <si>
    <t>6-19ИР08/2019</t>
  </si>
  <si>
    <t>Ву Кыонг Тхинь</t>
  </si>
  <si>
    <t>6-19ИР10/2019</t>
  </si>
  <si>
    <t>Фам Минь  Кханг</t>
  </si>
  <si>
    <t>6-19М618/2019</t>
  </si>
  <si>
    <t>Гужва  Дмитрий Вадимович</t>
  </si>
  <si>
    <t>6-19М616/2019</t>
  </si>
  <si>
    <t>Ковальчук Евгений Михайлович</t>
  </si>
  <si>
    <t>6-19М345/2019</t>
  </si>
  <si>
    <t>Михайлов Даниил Алексеевич</t>
  </si>
  <si>
    <t>6-19М347/2019</t>
  </si>
  <si>
    <t>Михайлов Илья Алексеевич</t>
  </si>
  <si>
    <t>6-19РМ703/2019</t>
  </si>
  <si>
    <t xml:space="preserve">Яушев Рустем </t>
  </si>
  <si>
    <t>6-19Ю002/2019</t>
  </si>
  <si>
    <t>Емельянова Екатерина Валерьевна</t>
  </si>
  <si>
    <t>6-19ИМ10/2019</t>
  </si>
  <si>
    <t xml:space="preserve">Кабрера Седеньо Марко Антони </t>
  </si>
  <si>
    <t>6-17М328/2019</t>
  </si>
  <si>
    <t>Корнев Данил Александрович</t>
  </si>
  <si>
    <t>Гусакова Алевтина  Андреевна</t>
  </si>
  <si>
    <t>6-15Ю114/2019</t>
  </si>
  <si>
    <t>6-18Р135/2019</t>
  </si>
  <si>
    <t>Ботвинникова Анастасия Антоновна</t>
  </si>
  <si>
    <t>6-19М621/2019</t>
  </si>
  <si>
    <t>Норматов Музаффарджон Абдухоликович</t>
  </si>
  <si>
    <t>6-19ИМ09/2019</t>
  </si>
  <si>
    <t xml:space="preserve">Саилович Небойша </t>
  </si>
  <si>
    <t>6-ECU-530319/2019</t>
  </si>
  <si>
    <t>Пильяхо Корелья Борис Марсело</t>
  </si>
  <si>
    <t>6-16М294/2019</t>
  </si>
  <si>
    <t>Даукаев Руслан Ильнурович</t>
  </si>
  <si>
    <t>е</t>
  </si>
  <si>
    <t>6-19рм017/2019</t>
  </si>
  <si>
    <t>Чуносов Илья Сергеевич</t>
  </si>
  <si>
    <t>6-15Р097/2019</t>
  </si>
  <si>
    <t>Алёхина Арина Владимировна</t>
  </si>
  <si>
    <t>6-16М027/2019</t>
  </si>
  <si>
    <t>Бабаев Тимур Ильхомович</t>
  </si>
  <si>
    <t>6-19ИР09/2019</t>
  </si>
  <si>
    <t xml:space="preserve">Нгуен Лео Хоанг </t>
  </si>
  <si>
    <t>6-19РМ702/2019</t>
  </si>
  <si>
    <t xml:space="preserve">Новачлы Иван </t>
  </si>
  <si>
    <t>6-19ИР134/2019</t>
  </si>
  <si>
    <t xml:space="preserve">Пильяхо Корелья Борис Марсело </t>
  </si>
  <si>
    <t>6-19Р602/2019</t>
  </si>
  <si>
    <t xml:space="preserve">Щурко Кристиан </t>
  </si>
  <si>
    <t>6-19ИМ08/2019</t>
  </si>
  <si>
    <t xml:space="preserve">Панагодаге Ачита Бодака </t>
  </si>
  <si>
    <t>6-19ИР11/2019</t>
  </si>
  <si>
    <t xml:space="preserve">Симунью Эльвина Рувимбо </t>
  </si>
  <si>
    <t>6-19ИР136/2019</t>
  </si>
  <si>
    <t xml:space="preserve">Фунду Кимбатса Берия Префна </t>
  </si>
  <si>
    <t>6-19ИР02/2019</t>
  </si>
  <si>
    <t xml:space="preserve">Нгуен Ван Нят Хью </t>
  </si>
  <si>
    <t>6-19Р601/2019</t>
  </si>
  <si>
    <t xml:space="preserve">Богданов Артем </t>
  </si>
  <si>
    <t>6-19ИМ12/2019</t>
  </si>
  <si>
    <t xml:space="preserve">Джонак Мохаммад Шах Джалал Уддин </t>
  </si>
  <si>
    <t>6-19ИР07/2019</t>
  </si>
  <si>
    <t xml:space="preserve">Ци  Синь </t>
  </si>
  <si>
    <t>6-19У955/2019</t>
  </si>
  <si>
    <t xml:space="preserve">Исмоилов Дилшоджон </t>
  </si>
  <si>
    <t>6-19ИР06/2019</t>
  </si>
  <si>
    <t xml:space="preserve">Чэнь Пэн </t>
  </si>
  <si>
    <t>6-19ИР01/2019</t>
  </si>
  <si>
    <t xml:space="preserve">Тянь Шинцзе </t>
  </si>
  <si>
    <t>6-19ИР03/2019</t>
  </si>
  <si>
    <t xml:space="preserve">Сюй Хунтао </t>
  </si>
  <si>
    <t>6-19ИР04/2019</t>
  </si>
  <si>
    <t xml:space="preserve">У  Тинвэй </t>
  </si>
  <si>
    <t>6-19ИР05/2019</t>
  </si>
  <si>
    <t xml:space="preserve">Шэн  Сюй </t>
  </si>
  <si>
    <t>6-19РМ701/2019</t>
  </si>
  <si>
    <t>Кичибеков Шамиль Вагиф оглы</t>
  </si>
  <si>
    <t>6-16Р224/2019</t>
  </si>
  <si>
    <t>Кожевников Дмитрий Евгеньевич</t>
  </si>
  <si>
    <t>Лисицына Анастасия Эдуардовна</t>
  </si>
  <si>
    <t>Бардашов Артем Александрович</t>
  </si>
  <si>
    <t>6-18РМ037/2018</t>
  </si>
  <si>
    <t>6-19Т438/2019</t>
  </si>
  <si>
    <t>Донцова Дарья Васильевна</t>
  </si>
  <si>
    <t>6-15Ю051/2019</t>
  </si>
  <si>
    <t>Ганиева Элина Айдаровна</t>
  </si>
  <si>
    <t>6-18Р179/2019</t>
  </si>
  <si>
    <t>Крехтунова Дарья Дмитриевна</t>
  </si>
  <si>
    <t>6-16М379/2019</t>
  </si>
  <si>
    <t>Надоров Иван Васильевич</t>
  </si>
  <si>
    <t>6-17М164/2019</t>
  </si>
  <si>
    <t>Рудь Дмитрий Вячеславович</t>
  </si>
  <si>
    <t>6-18М621/2019</t>
  </si>
  <si>
    <t>Торгомян Давит Артаваздович</t>
  </si>
  <si>
    <t>УФК по г.Москве (МГТУ им. Н.Э. Баумана л/с 20736Х72760);40501810845252000079;ГУ Банка России по ЦФО;044525000;;;003;РЕЗИДЕНТЫ - ПЛАТНЫЕ УСЛУГИ;00000000000000000130</t>
  </si>
  <si>
    <t>6-19М105/2019</t>
  </si>
  <si>
    <t>Салманов Равил Эвристович</t>
  </si>
  <si>
    <t>6-19М382/2019</t>
  </si>
  <si>
    <t>Парахин Егор Олегович</t>
  </si>
  <si>
    <t>6-16М213/2019</t>
  </si>
  <si>
    <t>Шумейко Никита Сергеевич</t>
  </si>
  <si>
    <t>6-16М300/2019</t>
  </si>
  <si>
    <t>Долгов  Александр Евгеньевич</t>
  </si>
  <si>
    <t>Э-19Р121/2019</t>
  </si>
  <si>
    <t>Э-19Р062/2019</t>
  </si>
  <si>
    <t>Пупкин  Максим Шмарович</t>
  </si>
  <si>
    <t>Азаров Анатолий Александрович</t>
  </si>
  <si>
    <t>6-18Р157/8</t>
  </si>
  <si>
    <t>Опл.по дог.найма (ком.усл.).за пер.:с 01.09.20 по 28.02.21,в т.ч. НДС 757</t>
  </si>
  <si>
    <t>ST00012|Name=УФК по г.Москве (МГТУ им. Н.Э. Баумана л/с 20736Х72760)|PersonalAcc=40501810845252000079|BankName=ГУ Банка России по ЦФО|BIC=044525000|CorrespAcc=0|Sum=454200|Purpose=Опл.по дог.найма (ком.усл.).за пер.:с 01.09.20 по 28.02.21,в т.ч. НДС 757,№6,Dog,ИстКод 112755|PayeeINN=7701002520|KPP=770101001|CBC=00000000000000000130|OKTMO=45375000|Contract=6-18Р157/8|ChildFIO=Азаров Анатолий Александрович|CATEGORY=003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</si>
</sst>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7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MKravtsov\source\repo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485775</xdr:colOff>
          <xdr:row>6</xdr:row>
          <xdr:rowOff>133350</xdr:rowOff>
        </xdr:from>
        <xdr:to>
          <xdr:col>19</xdr:col>
          <xdr:colOff>1504950</xdr:colOff>
          <xdr:row>9</xdr:row>
          <xdr:rowOff>85725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17</xdr:row>
          <xdr:rowOff>85725</xdr:rowOff>
        </xdr:from>
        <xdr:to>
          <xdr:col>22</xdr:col>
          <xdr:colOff>695325</xdr:colOff>
          <xdr:row>20</xdr:row>
          <xdr:rowOff>47625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V11" sqref="V11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8"/>
      <c r="M1" s="108"/>
      <c r="N1" s="108"/>
    </row>
    <row r="2" spans="2:26" s="13" customFormat="1" ht="20.45" customHeight="1" thickBot="1" x14ac:dyDescent="0.25">
      <c r="B2" s="110" t="s">
        <v>1205</v>
      </c>
      <c r="C2" s="111"/>
      <c r="D2" s="112"/>
      <c r="E2" s="112"/>
      <c r="F2" s="112"/>
      <c r="G2" s="112"/>
      <c r="H2" s="112"/>
      <c r="I2" s="113"/>
      <c r="K2" s="109"/>
      <c r="L2" s="109"/>
      <c r="M2" s="109"/>
      <c r="N2" s="109"/>
    </row>
    <row r="3" spans="2:26" ht="16.5" thickBot="1" x14ac:dyDescent="0.3">
      <c r="K3" s="121" t="s">
        <v>50</v>
      </c>
      <c r="L3" s="122"/>
      <c r="M3" s="122"/>
      <c r="N3" s="122"/>
    </row>
    <row r="4" spans="2:26" x14ac:dyDescent="0.2">
      <c r="B4" s="1"/>
      <c r="C4" s="2"/>
      <c r="D4" s="123" t="s">
        <v>1204</v>
      </c>
      <c r="E4" s="124"/>
      <c r="F4" s="124"/>
      <c r="G4" s="117"/>
      <c r="H4" s="117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80" t="s">
        <v>1</v>
      </c>
      <c r="C5" s="80"/>
      <c r="D5" s="119" t="s">
        <v>31</v>
      </c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2:26" x14ac:dyDescent="0.2">
      <c r="B6" s="4"/>
      <c r="C6" s="5"/>
      <c r="D6" s="120" t="s">
        <v>2</v>
      </c>
      <c r="E6" s="120"/>
      <c r="F6" s="120"/>
      <c r="G6" s="120"/>
      <c r="H6" s="120"/>
      <c r="I6" s="120"/>
      <c r="J6" s="120"/>
      <c r="K6" s="120"/>
      <c r="L6" s="120"/>
      <c r="M6" s="120"/>
      <c r="N6" s="120"/>
    </row>
    <row r="7" spans="2:26" ht="15" x14ac:dyDescent="0.25">
      <c r="B7" s="4"/>
      <c r="C7" s="34"/>
      <c r="D7" s="96" t="s">
        <v>24</v>
      </c>
      <c r="E7" s="96"/>
      <c r="F7" s="96"/>
      <c r="G7" s="96"/>
      <c r="H7" s="96"/>
      <c r="K7" s="87" t="s">
        <v>32</v>
      </c>
      <c r="L7" s="87"/>
      <c r="M7" s="87"/>
      <c r="N7" s="87"/>
    </row>
    <row r="8" spans="2:26" x14ac:dyDescent="0.2">
      <c r="B8" s="4"/>
      <c r="C8" s="5"/>
      <c r="D8" s="84" t="s">
        <v>3</v>
      </c>
      <c r="E8" s="84"/>
      <c r="F8" s="84"/>
      <c r="G8" s="84"/>
      <c r="H8" s="84"/>
      <c r="K8" s="85" t="s">
        <v>4</v>
      </c>
      <c r="L8" s="85"/>
      <c r="M8" s="85"/>
      <c r="N8" s="85"/>
    </row>
    <row r="9" spans="2:26" ht="14.45" customHeight="1" x14ac:dyDescent="0.25">
      <c r="B9" s="4"/>
      <c r="C9" s="5"/>
      <c r="D9" s="96" t="s">
        <v>25</v>
      </c>
      <c r="E9" s="97"/>
      <c r="F9" s="97"/>
      <c r="G9" s="97"/>
      <c r="H9" s="97"/>
      <c r="K9" s="86" t="s">
        <v>23</v>
      </c>
      <c r="L9" s="86"/>
      <c r="M9" s="86"/>
      <c r="N9" s="87"/>
    </row>
    <row r="10" spans="2:26" x14ac:dyDescent="0.2">
      <c r="B10" s="4"/>
      <c r="C10" s="5"/>
      <c r="D10" s="89" t="s">
        <v>19</v>
      </c>
      <c r="E10" s="90"/>
      <c r="F10" s="90"/>
      <c r="G10" s="90"/>
      <c r="H10" s="90"/>
      <c r="K10" s="90" t="s">
        <v>20</v>
      </c>
      <c r="L10" s="90"/>
      <c r="M10" s="90"/>
      <c r="N10" s="118"/>
    </row>
    <row r="11" spans="2:26" ht="15" x14ac:dyDescent="0.25">
      <c r="B11" s="4"/>
      <c r="C11" s="5"/>
      <c r="D11" s="94" t="s">
        <v>1203</v>
      </c>
      <c r="E11" s="86"/>
      <c r="F11" s="86"/>
      <c r="G11" s="86"/>
      <c r="H11" s="86"/>
      <c r="K11" s="19"/>
      <c r="L11" s="18"/>
      <c r="M11" s="18"/>
      <c r="N11" s="17"/>
    </row>
    <row r="12" spans="2:26" x14ac:dyDescent="0.2">
      <c r="B12" s="4"/>
      <c r="C12" s="5"/>
      <c r="D12" s="89" t="s">
        <v>21</v>
      </c>
      <c r="E12" s="90"/>
      <c r="F12" s="90"/>
      <c r="G12" s="90"/>
      <c r="H12" s="90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6" t="s">
        <v>33</v>
      </c>
      <c r="F13" s="86"/>
      <c r="G13" s="86"/>
      <c r="H13" s="86"/>
      <c r="I13" s="86"/>
      <c r="J13" s="86"/>
      <c r="K13" s="86"/>
      <c r="L13" s="7" t="s">
        <v>6</v>
      </c>
      <c r="M13" s="87" t="s">
        <v>34</v>
      </c>
      <c r="N13" s="87"/>
    </row>
    <row r="14" spans="2:26" ht="12" thickBot="1" x14ac:dyDescent="0.25">
      <c r="B14" s="4"/>
      <c r="C14" s="5"/>
      <c r="D14" s="4"/>
      <c r="E14" s="100" t="s">
        <v>7</v>
      </c>
      <c r="F14" s="100"/>
      <c r="G14" s="100"/>
      <c r="H14" s="100"/>
      <c r="I14" s="100"/>
      <c r="J14" s="100"/>
      <c r="K14" s="100"/>
      <c r="N14" s="5"/>
      <c r="S14" s="36"/>
      <c r="T14" s="37" t="s">
        <v>35</v>
      </c>
      <c r="U14" s="36"/>
    </row>
    <row r="15" spans="2:26" ht="15.75" thickBot="1" x14ac:dyDescent="0.3">
      <c r="B15" s="4"/>
      <c r="C15" s="5"/>
      <c r="D15" s="95" t="s">
        <v>8</v>
      </c>
      <c r="E15" s="95"/>
      <c r="F15" s="95"/>
      <c r="G15" s="95"/>
      <c r="H15" s="7"/>
      <c r="I15" s="87" t="s">
        <v>49</v>
      </c>
      <c r="J15" s="87"/>
      <c r="K15" s="87"/>
      <c r="L15" s="87"/>
      <c r="M15" s="87"/>
      <c r="N15" s="87"/>
      <c r="S15" s="43"/>
      <c r="T15" s="44" t="s">
        <v>1626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6" t="s">
        <v>52</v>
      </c>
      <c r="C16" s="107"/>
      <c r="D16" s="82" t="s">
        <v>1640</v>
      </c>
      <c r="E16" s="83"/>
      <c r="F16" s="83"/>
      <c r="G16" s="83"/>
      <c r="H16" s="83"/>
      <c r="I16" s="83"/>
      <c r="J16" s="83"/>
      <c r="K16" s="83"/>
      <c r="M16" s="104" t="s">
        <v>1639</v>
      </c>
      <c r="N16" s="105"/>
    </row>
    <row r="17" spans="2:23" ht="12" thickBot="1" x14ac:dyDescent="0.25">
      <c r="B17" s="4"/>
      <c r="C17" s="5"/>
      <c r="D17" s="84" t="s">
        <v>17</v>
      </c>
      <c r="E17" s="84"/>
      <c r="F17" s="84"/>
      <c r="G17" s="84"/>
      <c r="H17" s="84"/>
      <c r="I17" s="84"/>
      <c r="J17" s="84"/>
      <c r="K17" s="84"/>
      <c r="M17" s="85" t="s">
        <v>16</v>
      </c>
      <c r="N17" s="85"/>
      <c r="T17" s="37" t="s">
        <v>30</v>
      </c>
    </row>
    <row r="18" spans="2:23" ht="15" x14ac:dyDescent="0.25">
      <c r="B18" s="4"/>
      <c r="C18" s="5"/>
      <c r="D18" s="125" t="s">
        <v>22</v>
      </c>
      <c r="E18" s="125"/>
      <c r="F18" s="125"/>
      <c r="G18" s="99" t="s">
        <v>1638</v>
      </c>
      <c r="H18" s="99"/>
      <c r="I18" s="99"/>
      <c r="J18" s="99"/>
      <c r="K18" s="99"/>
      <c r="L18" s="99"/>
      <c r="M18" s="99"/>
      <c r="N18" s="99"/>
      <c r="S18" s="40"/>
      <c r="T18" s="47" t="s">
        <v>49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91" t="s">
        <v>55</v>
      </c>
      <c r="H19" s="92"/>
      <c r="I19" s="92"/>
      <c r="J19" s="92"/>
      <c r="K19" s="92"/>
      <c r="L19" s="92"/>
      <c r="M19" s="92"/>
      <c r="N19" s="93"/>
      <c r="S19" s="41"/>
      <c r="T19" s="39"/>
      <c r="U19" s="39"/>
      <c r="V19" s="16"/>
    </row>
    <row r="20" spans="2:23" ht="13.5" thickBot="1" x14ac:dyDescent="0.25">
      <c r="B20" s="81"/>
      <c r="C20" s="114"/>
      <c r="D20" s="115" t="s">
        <v>9</v>
      </c>
      <c r="E20" s="115"/>
      <c r="F20" s="115"/>
      <c r="G20" s="116">
        <v>4542</v>
      </c>
      <c r="H20" s="116"/>
      <c r="K20" s="14"/>
      <c r="L20" s="15"/>
      <c r="M20" s="129"/>
      <c r="N20" s="129"/>
      <c r="T20" s="38" t="s">
        <v>37</v>
      </c>
      <c r="V20" s="38" t="s">
        <v>40</v>
      </c>
    </row>
    <row r="21" spans="2:23" x14ac:dyDescent="0.2">
      <c r="B21" s="81"/>
      <c r="C21" s="114"/>
      <c r="D21" s="115"/>
      <c r="E21" s="115"/>
      <c r="F21" s="115"/>
      <c r="G21" s="116"/>
      <c r="H21" s="116"/>
      <c r="K21" t="s">
        <v>10</v>
      </c>
      <c r="L21" s="16"/>
      <c r="M21" s="130"/>
      <c r="N21" s="130"/>
      <c r="S21" s="137">
        <v>4542</v>
      </c>
      <c r="T21" s="138"/>
      <c r="U21" s="139"/>
      <c r="V21" s="136">
        <f>SetSum*20/120</f>
        <v>757</v>
      </c>
    </row>
    <row r="22" spans="2:23" x14ac:dyDescent="0.2">
      <c r="B22" s="4"/>
      <c r="C22" s="5"/>
      <c r="D22" s="4"/>
      <c r="K22" t="s">
        <v>1566</v>
      </c>
      <c r="N22" s="5"/>
      <c r="S22" s="136"/>
      <c r="T22" s="140"/>
      <c r="U22" s="141"/>
      <c r="V22" s="136"/>
    </row>
    <row r="23" spans="2:23" ht="11.85" customHeight="1" thickBot="1" x14ac:dyDescent="0.25">
      <c r="B23" s="4"/>
      <c r="C23" s="5"/>
      <c r="D23" s="101" t="s">
        <v>11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S23" s="142"/>
      <c r="T23" s="143"/>
      <c r="U23" s="144"/>
      <c r="V23" s="136"/>
    </row>
    <row r="24" spans="2:23" ht="17.25" customHeight="1" thickBot="1" x14ac:dyDescent="0.3">
      <c r="B24" s="80" t="s">
        <v>12</v>
      </c>
      <c r="C24" s="80"/>
      <c r="D24" s="98" t="s">
        <v>13</v>
      </c>
      <c r="E24" s="98"/>
      <c r="F24" s="98"/>
      <c r="G24" s="98"/>
      <c r="H24" s="98"/>
      <c r="I24" s="102" t="s">
        <v>14</v>
      </c>
      <c r="J24" s="102"/>
      <c r="K24" s="102"/>
      <c r="L24" s="103"/>
      <c r="M24" s="103"/>
      <c r="N24" s="103"/>
      <c r="O24" s="8"/>
    </row>
    <row r="25" spans="2:23" ht="16.5" thickBot="1" x14ac:dyDescent="0.3">
      <c r="B25" s="9"/>
      <c r="C25" s="10"/>
      <c r="D25" s="9"/>
      <c r="E25" s="11"/>
      <c r="F25" s="11"/>
      <c r="G25" s="88"/>
      <c r="H25" s="88"/>
      <c r="I25" s="11"/>
      <c r="J25" s="11"/>
      <c r="K25" s="11"/>
      <c r="L25" s="11"/>
      <c r="M25" s="11"/>
      <c r="N25" s="10"/>
      <c r="R25" t="s">
        <v>38</v>
      </c>
      <c r="S25" s="42">
        <v>44075</v>
      </c>
      <c r="T25" t="s">
        <v>39</v>
      </c>
      <c r="U25" s="42">
        <v>44255</v>
      </c>
    </row>
    <row r="26" spans="2:23" x14ac:dyDescent="0.2">
      <c r="B26" s="1"/>
      <c r="C26" s="2"/>
      <c r="D26" s="20"/>
      <c r="E26" s="21"/>
      <c r="F26" s="21"/>
      <c r="G26" s="126"/>
      <c r="H26" s="126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80" t="s">
        <v>15</v>
      </c>
      <c r="C27" s="80"/>
      <c r="D27" s="119" t="str">
        <f>Name</f>
        <v>УФК по г.Москве (МГТУ им. Н.Э. Баумана л/с 20736Х72760)</v>
      </c>
      <c r="E27" s="119"/>
      <c r="F27" s="119"/>
      <c r="G27" s="119"/>
      <c r="H27" s="119"/>
      <c r="I27" s="119"/>
      <c r="J27" s="119"/>
      <c r="K27" s="119"/>
      <c r="L27" s="119"/>
      <c r="M27" s="119"/>
      <c r="N27" s="119"/>
    </row>
    <row r="28" spans="2:23" ht="12" thickBot="1" x14ac:dyDescent="0.25">
      <c r="B28" s="4"/>
      <c r="C28" s="5"/>
      <c r="D28" s="120" t="s">
        <v>2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</row>
    <row r="29" spans="2:23" ht="15.75" thickBot="1" x14ac:dyDescent="0.3">
      <c r="B29" s="4"/>
      <c r="C29" s="5"/>
      <c r="D29" s="128" t="str">
        <f>PayeeINN</f>
        <v>7701002520</v>
      </c>
      <c r="E29" s="128"/>
      <c r="F29" s="128"/>
      <c r="G29" s="128"/>
      <c r="H29" s="128"/>
      <c r="I29" s="23"/>
      <c r="J29" s="23"/>
      <c r="K29" s="99" t="str">
        <f>PersonalAcc</f>
        <v>40501810845252000079</v>
      </c>
      <c r="L29" s="99"/>
      <c r="M29" s="99"/>
      <c r="N29" s="99"/>
      <c r="S29" s="75" t="s">
        <v>1202</v>
      </c>
      <c r="T29" s="76"/>
      <c r="U29" s="76"/>
      <c r="V29" s="77"/>
    </row>
    <row r="30" spans="2:23" x14ac:dyDescent="0.2">
      <c r="B30" s="4"/>
      <c r="C30" s="5"/>
      <c r="D30" s="84" t="s">
        <v>3</v>
      </c>
      <c r="E30" s="84"/>
      <c r="F30" s="84"/>
      <c r="G30" s="84"/>
      <c r="H30" s="84"/>
      <c r="I30" s="23"/>
      <c r="J30" s="23"/>
      <c r="K30" s="85" t="s">
        <v>4</v>
      </c>
      <c r="L30" s="85"/>
      <c r="M30" s="85"/>
      <c r="N30" s="85"/>
      <c r="S30" s="145">
        <f>DogKod</f>
        <v>0</v>
      </c>
      <c r="T30" s="146"/>
      <c r="U30" s="74"/>
      <c r="V30" s="74"/>
    </row>
    <row r="31" spans="2:23" ht="14.45" customHeight="1" x14ac:dyDescent="0.25">
      <c r="B31" s="4"/>
      <c r="C31" s="5"/>
      <c r="D31" s="96" t="str">
        <f>D9</f>
        <v>770101001</v>
      </c>
      <c r="E31" s="127"/>
      <c r="F31" s="127"/>
      <c r="G31" s="127"/>
      <c r="H31" s="127"/>
      <c r="I31" s="23"/>
      <c r="J31" s="23"/>
      <c r="K31" s="86" t="str">
        <f>K9</f>
        <v>45375000</v>
      </c>
      <c r="L31" s="127"/>
      <c r="M31" s="127"/>
      <c r="N31" s="99"/>
      <c r="S31" s="145"/>
      <c r="T31" s="146"/>
      <c r="U31" s="74"/>
      <c r="V31" s="74"/>
    </row>
    <row r="32" spans="2:23" ht="12" thickBot="1" x14ac:dyDescent="0.25">
      <c r="B32" s="4"/>
      <c r="C32" s="5"/>
      <c r="D32" s="89" t="s">
        <v>19</v>
      </c>
      <c r="E32" s="90"/>
      <c r="F32" s="90"/>
      <c r="G32" s="90"/>
      <c r="H32" s="90"/>
      <c r="I32" s="23"/>
      <c r="J32" s="23"/>
      <c r="K32" s="90" t="s">
        <v>20</v>
      </c>
      <c r="L32" s="90"/>
      <c r="M32" s="90"/>
      <c r="N32" s="118"/>
      <c r="S32" s="147"/>
      <c r="T32" s="148"/>
      <c r="U32" s="74"/>
      <c r="V32" s="74"/>
    </row>
    <row r="33" spans="2:15" ht="15" x14ac:dyDescent="0.25">
      <c r="B33" s="4"/>
      <c r="C33" s="5"/>
      <c r="D33" s="94" t="str">
        <f>D11</f>
        <v>00000000000000000130</v>
      </c>
      <c r="E33" s="127"/>
      <c r="F33" s="127"/>
      <c r="G33" s="127"/>
      <c r="H33" s="127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9" t="s">
        <v>21</v>
      </c>
      <c r="E34" s="90"/>
      <c r="F34" s="90"/>
      <c r="G34" s="90"/>
      <c r="H34" s="90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7" t="str">
        <f>BankName</f>
        <v>ГУ Банка России по ЦФО</v>
      </c>
      <c r="F35" s="127"/>
      <c r="G35" s="127"/>
      <c r="H35" s="127"/>
      <c r="I35" s="127"/>
      <c r="J35" s="127"/>
      <c r="K35" s="127"/>
      <c r="L35" s="7" t="s">
        <v>6</v>
      </c>
      <c r="M35" s="99" t="str">
        <f>BIC</f>
        <v>044525000</v>
      </c>
      <c r="N35" s="99"/>
    </row>
    <row r="36" spans="2:15" x14ac:dyDescent="0.2">
      <c r="B36" s="4"/>
      <c r="C36" s="5"/>
      <c r="D36" s="25"/>
      <c r="E36" s="100" t="s">
        <v>7</v>
      </c>
      <c r="F36" s="100"/>
      <c r="G36" s="100"/>
      <c r="H36" s="100"/>
      <c r="I36" s="100"/>
      <c r="J36" s="100"/>
      <c r="K36" s="100"/>
      <c r="L36" s="23"/>
      <c r="M36" s="23"/>
      <c r="N36" s="26"/>
    </row>
    <row r="37" spans="2:15" ht="15" x14ac:dyDescent="0.25">
      <c r="B37" s="4"/>
      <c r="C37" s="5"/>
      <c r="D37" s="131" t="s">
        <v>8</v>
      </c>
      <c r="E37" s="131"/>
      <c r="F37" s="131"/>
      <c r="G37" s="131"/>
      <c r="H37" s="7"/>
      <c r="I37" s="99" t="str">
        <f>CorrespAcc</f>
        <v/>
      </c>
      <c r="J37" s="99"/>
      <c r="K37" s="99"/>
      <c r="L37" s="99"/>
      <c r="M37" s="99"/>
      <c r="N37" s="99"/>
    </row>
    <row r="38" spans="2:15" ht="41.45" customHeight="1" x14ac:dyDescent="0.2">
      <c r="B38" s="4"/>
      <c r="C38" s="5"/>
      <c r="D38" s="82" t="str">
        <f>Purpose</f>
        <v>Опл.по дог.найма (ком.усл.).за пер.:с 01.09.20 по 28.02.21,в т.ч. НДС 757</v>
      </c>
      <c r="E38" s="83"/>
      <c r="F38" s="83"/>
      <c r="G38" s="83"/>
      <c r="H38" s="83"/>
      <c r="I38" s="83"/>
      <c r="J38" s="83"/>
      <c r="K38" s="83"/>
      <c r="L38" s="23"/>
      <c r="M38" s="104" t="str">
        <f>Contract</f>
        <v>6-18Р157/8</v>
      </c>
      <c r="N38" s="105"/>
    </row>
    <row r="39" spans="2:15" x14ac:dyDescent="0.2">
      <c r="B39" s="4"/>
      <c r="C39" s="5"/>
      <c r="D39" s="84" t="s">
        <v>17</v>
      </c>
      <c r="E39" s="84"/>
      <c r="F39" s="84"/>
      <c r="G39" s="84"/>
      <c r="H39" s="84"/>
      <c r="I39" s="84"/>
      <c r="J39" s="84"/>
      <c r="K39" s="84"/>
      <c r="L39" s="23"/>
      <c r="M39" s="85" t="s">
        <v>16</v>
      </c>
      <c r="N39" s="85"/>
    </row>
    <row r="40" spans="2:15" ht="15" x14ac:dyDescent="0.25">
      <c r="B40" s="4"/>
      <c r="C40" s="5"/>
      <c r="D40" s="133" t="str">
        <f>D18</f>
        <v>ФИО обучающегося</v>
      </c>
      <c r="E40" s="133"/>
      <c r="F40" s="133"/>
      <c r="G40" s="99" t="str">
        <f>FIO</f>
        <v>Азаров Анатолий Александрович</v>
      </c>
      <c r="H40" s="99"/>
      <c r="I40" s="99"/>
      <c r="J40" s="99"/>
      <c r="K40" s="99"/>
      <c r="L40" s="99"/>
      <c r="M40" s="99"/>
      <c r="N40" s="99"/>
    </row>
    <row r="41" spans="2:15" ht="15" x14ac:dyDescent="0.25">
      <c r="B41" s="4"/>
      <c r="C41" s="5"/>
      <c r="D41" s="131" t="s">
        <v>18</v>
      </c>
      <c r="E41" s="132"/>
      <c r="F41" s="132"/>
      <c r="G41" s="91" t="str">
        <f>IF(Hostel="","",Hostel)</f>
        <v>№6</v>
      </c>
      <c r="H41" s="134"/>
      <c r="I41" s="134"/>
      <c r="J41" s="134"/>
      <c r="K41" s="134"/>
      <c r="L41" s="134"/>
      <c r="M41" s="134"/>
      <c r="N41" s="135"/>
    </row>
    <row r="42" spans="2:15" ht="12.75" x14ac:dyDescent="0.2">
      <c r="B42" s="81"/>
      <c r="C42" s="114"/>
      <c r="D42" s="115" t="s">
        <v>9</v>
      </c>
      <c r="E42" s="115"/>
      <c r="F42" s="115"/>
      <c r="G42" s="116">
        <f>Sum</f>
        <v>4542</v>
      </c>
      <c r="H42" s="116"/>
      <c r="I42" s="23"/>
      <c r="J42" s="23"/>
      <c r="K42" s="14"/>
      <c r="L42" s="27"/>
      <c r="M42" s="129"/>
      <c r="N42" s="129"/>
    </row>
    <row r="43" spans="2:15" x14ac:dyDescent="0.2">
      <c r="B43" s="81"/>
      <c r="C43" s="114"/>
      <c r="D43" s="115"/>
      <c r="E43" s="115"/>
      <c r="F43" s="115"/>
      <c r="G43" s="116"/>
      <c r="H43" s="116"/>
      <c r="I43" s="23"/>
      <c r="J43" s="23"/>
      <c r="K43" s="23" t="s">
        <v>10</v>
      </c>
      <c r="L43" s="28"/>
      <c r="M43" s="130"/>
      <c r="N43" s="130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101" t="s">
        <v>11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5" ht="17.25" customHeight="1" x14ac:dyDescent="0.25">
      <c r="B46" s="80" t="s">
        <v>12</v>
      </c>
      <c r="C46" s="80"/>
      <c r="D46" s="152" t="s">
        <v>13</v>
      </c>
      <c r="E46" s="152"/>
      <c r="F46" s="152"/>
      <c r="G46" s="152"/>
      <c r="H46" s="152"/>
      <c r="I46" s="154" t="s">
        <v>14</v>
      </c>
      <c r="J46" s="154"/>
      <c r="K46" s="154"/>
      <c r="L46" s="155"/>
      <c r="M46" s="155"/>
      <c r="N46" s="155"/>
      <c r="O46" s="8"/>
    </row>
    <row r="47" spans="2:15" ht="12" thickBot="1" x14ac:dyDescent="0.25">
      <c r="B47" s="9"/>
      <c r="C47" s="10"/>
      <c r="D47" s="29"/>
      <c r="E47" s="30"/>
      <c r="F47" s="30"/>
      <c r="G47" s="153"/>
      <c r="H47" s="153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50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6" t="s">
        <v>1641</v>
      </c>
      <c r="C52" s="156"/>
      <c r="D52" s="156"/>
      <c r="E52" s="156"/>
    </row>
    <row r="53" spans="2:21" ht="18" customHeight="1" outlineLevel="1" x14ac:dyDescent="0.2">
      <c r="B53" s="156"/>
      <c r="C53" s="156"/>
      <c r="D53" s="156"/>
      <c r="E53" s="156"/>
    </row>
    <row r="54" spans="2:21" ht="19.5" customHeight="1" outlineLevel="1" x14ac:dyDescent="0.2">
      <c r="B54" s="156"/>
      <c r="C54" s="156"/>
      <c r="D54" s="156"/>
      <c r="E54" s="156"/>
    </row>
    <row r="55" spans="2:21" ht="4.5" customHeight="1" outlineLevel="1" x14ac:dyDescent="0.2">
      <c r="B55" s="156"/>
      <c r="C55" s="156"/>
      <c r="D55" s="156"/>
      <c r="E55" s="156"/>
    </row>
    <row r="56" spans="2:21" ht="4.5" customHeight="1" outlineLevel="1" x14ac:dyDescent="0.2">
      <c r="B56" s="156"/>
      <c r="C56" s="156"/>
      <c r="D56" s="156"/>
      <c r="E56" s="156"/>
    </row>
    <row r="57" spans="2:21" ht="2.25" customHeight="1" outlineLevel="1" x14ac:dyDescent="0.2">
      <c r="B57" s="156"/>
      <c r="C57" s="156"/>
      <c r="D57" s="156"/>
      <c r="E57" s="156"/>
    </row>
    <row r="58" spans="2:21" ht="4.5" customHeight="1" outlineLevel="1" x14ac:dyDescent="0.2">
      <c r="B58" s="156"/>
      <c r="C58" s="156"/>
      <c r="D58" s="156"/>
      <c r="E58" s="156"/>
    </row>
    <row r="59" spans="2:21" ht="55.5" customHeight="1" outlineLevel="1" x14ac:dyDescent="0.2">
      <c r="B59" s="156"/>
      <c r="C59" s="156"/>
      <c r="D59" s="156"/>
      <c r="E59" s="156"/>
      <c r="F59">
        <v>112755</v>
      </c>
    </row>
    <row r="60" spans="2:21" outlineLevel="1" x14ac:dyDescent="0.2"/>
    <row r="61" spans="2:21" outlineLevel="1" x14ac:dyDescent="0.2">
      <c r="C61" t="s">
        <v>51</v>
      </c>
      <c r="D61" s="149" t="s">
        <v>36</v>
      </c>
      <c r="E61" s="149"/>
      <c r="F61" s="35" t="s">
        <v>26</v>
      </c>
      <c r="H61" t="s">
        <v>27</v>
      </c>
      <c r="L61" s="35" t="s">
        <v>28</v>
      </c>
      <c r="N61" s="35" t="s">
        <v>29</v>
      </c>
      <c r="R61" s="35" t="s">
        <v>1200</v>
      </c>
      <c r="S61" t="s">
        <v>1201</v>
      </c>
      <c r="U61" s="78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</v>
      </c>
    </row>
    <row r="62" spans="2:21" outlineLevel="1" x14ac:dyDescent="0.2">
      <c r="C62" t="s">
        <v>31</v>
      </c>
      <c r="D62" s="149"/>
      <c r="E62" s="149"/>
      <c r="F62" s="35" t="s">
        <v>32</v>
      </c>
      <c r="H62" t="s">
        <v>33</v>
      </c>
      <c r="K62" s="35" t="s">
        <v>1203</v>
      </c>
      <c r="L62" s="35" t="s">
        <v>34</v>
      </c>
      <c r="R62" s="35" t="s">
        <v>1204</v>
      </c>
      <c r="S62" s="79" t="s">
        <v>1205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20736Х72760);40501810845252000079;ГУ Банка России по ЦФО;044525000;;;003;РЕЗИДЕНТЫ - ПЛАТНЫЕ УСЛУГИ;00000000000000000130</v>
      </c>
    </row>
    <row r="63" spans="2:21" outlineLevel="1" x14ac:dyDescent="0.2"/>
    <row r="64" spans="2:21" outlineLevel="1" x14ac:dyDescent="0.2">
      <c r="C64" s="51" t="s">
        <v>41</v>
      </c>
      <c r="D64" s="149">
        <v>39588</v>
      </c>
      <c r="E64" s="149"/>
      <c r="F64" s="51" t="str">
        <f t="shared" ref="F64:F70" si="0">C64&amp;";"&amp;D64</f>
        <v>ВБ/5/12-1;39588</v>
      </c>
    </row>
    <row r="65" spans="3:6" outlineLevel="1" x14ac:dyDescent="0.2">
      <c r="C65" s="51" t="s">
        <v>42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43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44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47</v>
      </c>
      <c r="D68" s="35" t="s">
        <v>48</v>
      </c>
      <c r="E68" s="51"/>
      <c r="F68" s="51" t="str">
        <f>C68&amp;";"&amp;D68</f>
        <v>ВБ/5/2-4;112755</v>
      </c>
    </row>
    <row r="69" spans="3:6" outlineLevel="1" x14ac:dyDescent="0.2">
      <c r="C69" s="51" t="s">
        <v>45</v>
      </c>
      <c r="D69" s="149">
        <v>39595</v>
      </c>
      <c r="E69" s="149"/>
      <c r="F69" s="51" t="str">
        <f t="shared" si="0"/>
        <v>ВБ/5/12-5;39595</v>
      </c>
    </row>
    <row r="70" spans="3:6" outlineLevel="1" x14ac:dyDescent="0.2">
      <c r="C70" s="51" t="s">
        <v>46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linkedCell="Student" listFillRange="DDL_Range" r:id="rId5">
            <anchor moveWithCells="1">
              <from>
                <xdr:col>18</xdr:col>
                <xdr:colOff>95250</xdr:colOff>
                <xdr:row>17</xdr:row>
                <xdr:rowOff>85725</xdr:rowOff>
              </from>
              <to>
                <xdr:col>22</xdr:col>
                <xdr:colOff>695325</xdr:colOff>
                <xdr:row>20</xdr:row>
                <xdr:rowOff>47625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485775</xdr:colOff>
                <xdr:row>6</xdr:row>
                <xdr:rowOff>133350</xdr:rowOff>
              </from>
              <to>
                <xdr:col>19</xdr:col>
                <xdr:colOff>1504950</xdr:colOff>
                <xdr:row>9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365" workbookViewId="0">
      <selection activeCell="C369" sqref="C369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72</v>
      </c>
      <c r="C1" s="63" t="s">
        <v>73</v>
      </c>
      <c r="D1" s="66" t="s">
        <v>55</v>
      </c>
      <c r="E1" s="50" t="str">
        <f t="shared" ref="E1:E64" si="0">LEFT(C1,IF(ISERROR(FIND(":",C1))=TRUE,LEN(C1),FIND(":",C1)-1)) &amp; ";" &amp; B1 &amp; ";" &amp; A1 &amp; ";" &amp;D1</f>
        <v>Абдуллина Лейла Реналевна;6-15Р173/2015;127603;№6</v>
      </c>
      <c r="F1" s="50" t="b">
        <f t="shared" ref="F1:F64" si="1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Реналевна;6-15Р173/2015;127603;№6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1127</v>
      </c>
      <c r="C2" s="63" t="s">
        <v>1128</v>
      </c>
      <c r="D2" s="66" t="s">
        <v>55</v>
      </c>
      <c r="E2" s="50" t="str">
        <f t="shared" si="0"/>
        <v>Абдулложонов Бекзод Акмалжон угли;6-18М613/2018;820442;№6</v>
      </c>
      <c r="F2" s="50" t="b">
        <f t="shared" si="1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963</v>
      </c>
      <c r="C3" s="58" t="s">
        <v>964</v>
      </c>
      <c r="D3" s="55" t="s">
        <v>55</v>
      </c>
      <c r="E3" s="50" t="str">
        <f t="shared" si="0"/>
        <v>Аблязов Глеб Эдуардович;6-16М021/2019;827193;№6</v>
      </c>
      <c r="F3" s="50" t="b">
        <f t="shared" si="1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74</v>
      </c>
      <c r="C4" s="63" t="s">
        <v>75</v>
      </c>
      <c r="D4" s="66" t="s">
        <v>55</v>
      </c>
      <c r="E4" s="50" t="str">
        <f t="shared" si="0"/>
        <v>Абрамов Адам Иосифович;6-15Р094/2015;127646;№6</v>
      </c>
      <c r="F4" s="50" t="b">
        <f t="shared" si="1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65">
        <v>817448</v>
      </c>
      <c r="B5" s="66" t="s">
        <v>1009</v>
      </c>
      <c r="C5" s="63" t="s">
        <v>1010</v>
      </c>
      <c r="D5" s="66" t="s">
        <v>55</v>
      </c>
      <c r="E5" s="50" t="str">
        <f t="shared" si="0"/>
        <v>Абрамов Фёдор Константинович;6-17Р204/18;817448;№6</v>
      </c>
      <c r="F5" s="50" t="b">
        <f t="shared" si="1"/>
        <v>1</v>
      </c>
      <c r="G5" s="50">
        <f>IF($F5,COUNTIF($F$1:$F5,TRUE),"")</f>
        <v>5</v>
      </c>
      <c r="H5" s="50" t="str">
        <f>IFERROR(INDEX(NameStudent,MATCH(ROWS($H$1:$H5),Index,0)),"")</f>
        <v>Абрамов Фёдор Константинович;6-17Р204/18;817448;№6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55">
        <v>816785</v>
      </c>
      <c r="B6" s="55" t="s">
        <v>809</v>
      </c>
      <c r="C6" s="58" t="s">
        <v>810</v>
      </c>
      <c r="D6" s="55" t="s">
        <v>55</v>
      </c>
      <c r="E6" s="50" t="str">
        <f t="shared" si="0"/>
        <v>Абрамова Полина Игоревна;6-15Р002/2018;816785;№6</v>
      </c>
      <c r="F6" s="50" t="b">
        <f t="shared" si="1"/>
        <v>1</v>
      </c>
      <c r="G6" s="50">
        <f>IF($F6,COUNTIF($F$1:$F6,TRUE),"")</f>
        <v>6</v>
      </c>
      <c r="H6" s="50" t="str">
        <f>IFERROR(INDEX(NameStudent,MATCH(ROWS($H$1:$H6),Index,0)),"")</f>
        <v>Абрамова Полина Игоревна;6-15Р002/2018;816785;№6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65">
        <v>785028</v>
      </c>
      <c r="B7" s="66" t="s">
        <v>426</v>
      </c>
      <c r="C7" s="63" t="s">
        <v>427</v>
      </c>
      <c r="D7" s="66" t="s">
        <v>55</v>
      </c>
      <c r="E7" s="50" t="str">
        <f t="shared" si="0"/>
        <v>Авезов Руслан Муродбоевич;6-17РМ002 /2017;785028;№6</v>
      </c>
      <c r="F7" s="50" t="b">
        <f t="shared" si="1"/>
        <v>1</v>
      </c>
      <c r="G7" s="50">
        <f>IF($F7,COUNTIF($F$1:$F7,TRUE),"")</f>
        <v>7</v>
      </c>
      <c r="H7" s="50" t="str">
        <f>IFERROR(INDEX(NameStudent,MATCH(ROWS($H$1:$H7),Index,0)),"")</f>
        <v>Авезов Руслан Муродбоевич;6-17РМ002 /2017;785028;№6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55">
        <v>816845</v>
      </c>
      <c r="B8" s="55" t="s">
        <v>849</v>
      </c>
      <c r="C8" s="58" t="s">
        <v>850</v>
      </c>
      <c r="D8" s="55" t="s">
        <v>55</v>
      </c>
      <c r="E8" s="50" t="str">
        <f t="shared" si="0"/>
        <v>Агапов Данила Александрович;6-15Р003/2018;816845;№6</v>
      </c>
      <c r="F8" s="50" t="b">
        <f t="shared" si="1"/>
        <v>1</v>
      </c>
      <c r="G8" s="50">
        <f>IF($F8,COUNTIF($F$1:$F8,TRUE),"")</f>
        <v>8</v>
      </c>
      <c r="H8" s="50" t="str">
        <f>IFERROR(INDEX(NameStudent,MATCH(ROWS($H$1:$H8),Index,0)),"")</f>
        <v>Агапов Данила Александрович;6-15Р003/2018;816845;№6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814791</v>
      </c>
      <c r="B9" s="66" t="s">
        <v>614</v>
      </c>
      <c r="C9" s="63" t="s">
        <v>615</v>
      </c>
      <c r="D9" s="66" t="s">
        <v>55</v>
      </c>
      <c r="E9" s="50" t="str">
        <f t="shared" si="0"/>
        <v>Агейчева Мария Михайловна;6-18Р052/2018;814791;№6</v>
      </c>
      <c r="F9" s="50" t="b">
        <f t="shared" si="1"/>
        <v>1</v>
      </c>
      <c r="G9" s="50">
        <f>IF($F9,COUNTIF($F$1:$F9,TRUE),"")</f>
        <v>9</v>
      </c>
      <c r="H9" s="50" t="str">
        <f>IFERROR(INDEX(NameStudent,MATCH(ROWS($H$1:$H9),Index,0)),"")</f>
        <v>Агейчева Мария Михайловна;6-18Р052/2018;814791;№6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814803</v>
      </c>
      <c r="B10" s="66" t="s">
        <v>616</v>
      </c>
      <c r="C10" s="63" t="s">
        <v>617</v>
      </c>
      <c r="D10" s="66" t="s">
        <v>55</v>
      </c>
      <c r="E10" s="50" t="str">
        <f t="shared" si="0"/>
        <v>Азаров Анатолий Александрович;6-18Р157/2018;814803;№6</v>
      </c>
      <c r="F10" s="50" t="b">
        <f t="shared" si="1"/>
        <v>1</v>
      </c>
      <c r="G10" s="50">
        <f>IF($F10,COUNTIF($F$1:$F10,TRUE),"")</f>
        <v>10</v>
      </c>
      <c r="H10" s="50" t="str">
        <f>IFERROR(INDEX(NameStudent,MATCH(ROWS($H$1:$H10),Index,0)),"")</f>
        <v>Азаров Анатолий Александрович;6-18Р157/2018;814803;№6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814810</v>
      </c>
      <c r="B11" s="66" t="s">
        <v>618</v>
      </c>
      <c r="C11" s="63" t="s">
        <v>619</v>
      </c>
      <c r="D11" s="66" t="s">
        <v>55</v>
      </c>
      <c r="E11" s="50" t="str">
        <f t="shared" si="0"/>
        <v>Акбатыров Жангельды Куанычевич;6-18Р133/2018;814810;№6</v>
      </c>
      <c r="F11" s="50" t="b">
        <f t="shared" si="1"/>
        <v>1</v>
      </c>
      <c r="G11" s="50">
        <f>IF($F11,COUNTIF($F$1:$F11,TRUE),"")</f>
        <v>11</v>
      </c>
      <c r="H11" s="50" t="str">
        <f>IFERROR(INDEX(NameStudent,MATCH(ROWS($H$1:$H11),Index,0)),"")</f>
        <v>Акбатыров Жангельды Куанычевич;6-18Р133/2018;814810;№6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785026</v>
      </c>
      <c r="B12" s="66" t="s">
        <v>424</v>
      </c>
      <c r="C12" s="63" t="s">
        <v>425</v>
      </c>
      <c r="D12" s="66" t="s">
        <v>55</v>
      </c>
      <c r="E12" s="50" t="str">
        <f t="shared" si="0"/>
        <v>Аксенов Максим Артурович;6-17Р158 /2017;785026;№6</v>
      </c>
      <c r="F12" s="50" t="b">
        <f t="shared" si="1"/>
        <v>1</v>
      </c>
      <c r="G12" s="50">
        <f>IF($F12,COUNTIF($F$1:$F12,TRUE),"")</f>
        <v>12</v>
      </c>
      <c r="H12" s="50" t="str">
        <f>IFERROR(INDEX(NameStudent,MATCH(ROWS($H$1:$H12),Index,0)),"")</f>
        <v>Аксенов Максим Артурович;6-17Р158 /2017;785026;№6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816707</v>
      </c>
      <c r="B13" s="66" t="s">
        <v>1059</v>
      </c>
      <c r="C13" s="63" t="s">
        <v>1060</v>
      </c>
      <c r="D13" s="66" t="s">
        <v>55</v>
      </c>
      <c r="E13" s="50" t="str">
        <f t="shared" si="0"/>
        <v>Албу Алевтина Андреевна;6-15Ю114/2018;816707;№6</v>
      </c>
      <c r="F13" s="50" t="b">
        <f t="shared" si="1"/>
        <v>1</v>
      </c>
      <c r="G13" s="50">
        <f>IF($F13,COUNTIF($F$1:$F13,TRUE),"")</f>
        <v>13</v>
      </c>
      <c r="H13" s="50" t="str">
        <f>IFERROR(INDEX(NameStudent,MATCH(ROWS($H$1:$H13),Index,0)),"")</f>
        <v>Албу Алевтина Андреевна;6-15Ю114/2018;816707;№6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142585</v>
      </c>
      <c r="B14" s="66" t="s">
        <v>204</v>
      </c>
      <c r="C14" s="63" t="s">
        <v>205</v>
      </c>
      <c r="D14" s="66" t="s">
        <v>55</v>
      </c>
      <c r="E14" s="50" t="str">
        <f t="shared" si="0"/>
        <v>Александров Антон Андреевич;6-16Р141 /2016;142585;№6</v>
      </c>
      <c r="F14" s="50" t="b">
        <f t="shared" si="1"/>
        <v>1</v>
      </c>
      <c r="G14" s="50">
        <f>IF($F14,COUNTIF($F$1:$F14,TRUE),"")</f>
        <v>14</v>
      </c>
      <c r="H14" s="50" t="str">
        <f>IFERROR(INDEX(NameStudent,MATCH(ROWS($H$1:$H14),Index,0)),"")</f>
        <v>Александров Антон Андреевич;6-16Р141 /2016;142585;№6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141885</v>
      </c>
      <c r="B15" s="66" t="s">
        <v>196</v>
      </c>
      <c r="C15" s="63" t="s">
        <v>197</v>
      </c>
      <c r="D15" s="66" t="s">
        <v>55</v>
      </c>
      <c r="E15" s="50" t="str">
        <f t="shared" si="0"/>
        <v>Алексеев Александр Романович;6-16Р100 /2016;141885;№6</v>
      </c>
      <c r="F15" s="50" t="b">
        <f t="shared" si="1"/>
        <v>1</v>
      </c>
      <c r="G15" s="50">
        <f>IF($F15,COUNTIF($F$1:$F15,TRUE),"")</f>
        <v>15</v>
      </c>
      <c r="H15" s="50" t="str">
        <f>IFERROR(INDEX(NameStudent,MATCH(ROWS($H$1:$H15),Index,0)),"")</f>
        <v>Алексеев Александр Романович;6-16Р100 /2016;141885;№6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784842</v>
      </c>
      <c r="B16" s="66" t="s">
        <v>352</v>
      </c>
      <c r="C16" s="63" t="s">
        <v>353</v>
      </c>
      <c r="D16" s="66" t="s">
        <v>55</v>
      </c>
      <c r="E16" s="50" t="str">
        <f t="shared" si="0"/>
        <v>Алексеев Вадим Игоревич;6-17Р022 /2017;784842;№6</v>
      </c>
      <c r="F16" s="50" t="b">
        <f t="shared" si="1"/>
        <v>1</v>
      </c>
      <c r="G16" s="50">
        <f>IF($F16,COUNTIF($F$1:$F16,TRUE),"")</f>
        <v>16</v>
      </c>
      <c r="H16" s="50" t="str">
        <f>IFERROR(INDEX(NameStudent,MATCH(ROWS($H$1:$H16),Index,0)),"")</f>
        <v>Алексеев Вадим Игоревич;6-17Р022 /2017;784842;№6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65">
        <v>127667</v>
      </c>
      <c r="B17" s="66" t="s">
        <v>76</v>
      </c>
      <c r="C17" s="63" t="s">
        <v>77</v>
      </c>
      <c r="D17" s="66" t="s">
        <v>55</v>
      </c>
      <c r="E17" s="50" t="str">
        <f t="shared" si="0"/>
        <v>Алексеева Анна Андреевна;6-15Р096/2015;127667;№6</v>
      </c>
      <c r="F17" s="50" t="b">
        <f t="shared" si="1"/>
        <v>1</v>
      </c>
      <c r="G17" s="50">
        <f>IF($F17,COUNTIF($F$1:$F17,TRUE),"")</f>
        <v>17</v>
      </c>
      <c r="H17" s="50" t="str">
        <f>IFERROR(INDEX(NameStudent,MATCH(ROWS($H$1:$H17),Index,0)),"")</f>
        <v>Алексеева Анна Андреевна;6-15Р096/2015;127667;№6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55">
        <v>817705</v>
      </c>
      <c r="B18" s="55" t="s">
        <v>875</v>
      </c>
      <c r="C18" s="58" t="s">
        <v>876</v>
      </c>
      <c r="D18" s="55" t="s">
        <v>55</v>
      </c>
      <c r="E18" s="50" t="str">
        <f t="shared" si="0"/>
        <v>Алёхина Арина Владимировна;6-15Р097/2018;817705;№6</v>
      </c>
      <c r="F18" s="50" t="b">
        <f t="shared" si="1"/>
        <v>1</v>
      </c>
      <c r="G18" s="50">
        <f>IF($F18,COUNTIF($F$1:$F18,TRUE),"")</f>
        <v>18</v>
      </c>
      <c r="H18" s="50" t="str">
        <f>IFERROR(INDEX(NameStudent,MATCH(ROWS($H$1:$H18),Index,0)),"")</f>
        <v>Алёхина Арина Владимировна;6-15Р097/2018;817705;№6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820436</v>
      </c>
      <c r="B19" s="66" t="s">
        <v>1125</v>
      </c>
      <c r="C19" s="63" t="s">
        <v>1126</v>
      </c>
      <c r="D19" s="66" t="s">
        <v>55</v>
      </c>
      <c r="E19" s="50" t="str">
        <f t="shared" si="0"/>
        <v>Али Зейнал Абидин ;6-18ИМ01/2018;820436;№6</v>
      </c>
      <c r="F19" s="50" t="b">
        <f t="shared" si="1"/>
        <v>1</v>
      </c>
      <c r="G19" s="50">
        <f>IF($F19,COUNTIF($F$1:$F19,TRUE),"")</f>
        <v>19</v>
      </c>
      <c r="H19" s="50" t="str">
        <f>IFERROR(INDEX(NameStudent,MATCH(ROWS($H$1:$H19),Index,0)),"")</f>
        <v>Али Зейнал Абидин ;6-18ИМ01/2018;820436;№6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820427</v>
      </c>
      <c r="B20" s="66" t="s">
        <v>1123</v>
      </c>
      <c r="C20" s="63" t="s">
        <v>1124</v>
      </c>
      <c r="D20" s="66" t="s">
        <v>55</v>
      </c>
      <c r="E20" s="50" t="str">
        <f t="shared" si="0"/>
        <v>Алмкаиель Гадир ;6-18ИМ02/2018;820427;№6</v>
      </c>
      <c r="F20" s="50" t="b">
        <f t="shared" si="1"/>
        <v>1</v>
      </c>
      <c r="G20" s="50">
        <f>IF($F20,COUNTIF($F$1:$F20,TRUE),"")</f>
        <v>20</v>
      </c>
      <c r="H20" s="50" t="str">
        <f>IFERROR(INDEX(NameStudent,MATCH(ROWS($H$1:$H20),Index,0)),"")</f>
        <v>Алмкаиель Гадир ;6-18ИМ02/2018;820427;№6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789913</v>
      </c>
      <c r="B21" s="66" t="s">
        <v>580</v>
      </c>
      <c r="C21" s="63" t="s">
        <v>581</v>
      </c>
      <c r="D21" s="66" t="s">
        <v>55</v>
      </c>
      <c r="E21" s="50" t="str">
        <f t="shared" si="0"/>
        <v>Аметкулов Алибек Канатович;6-17М598 /2017;789913;№6</v>
      </c>
      <c r="F21" s="50" t="b">
        <f t="shared" si="1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 /2017;789913;№6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827955</v>
      </c>
      <c r="B22" s="66" t="s">
        <v>1199</v>
      </c>
      <c r="C22" s="63" t="s">
        <v>581</v>
      </c>
      <c r="D22" s="66" t="s">
        <v>55</v>
      </c>
      <c r="E22" s="50" t="str">
        <f t="shared" si="0"/>
        <v>Аметкулов Алибек Канатович;6-17М598/2019;827955;№6</v>
      </c>
      <c r="F22" s="50" t="b">
        <f t="shared" si="1"/>
        <v>1</v>
      </c>
      <c r="G22" s="50">
        <f>IF($F22,COUNTIF($F$1:$F22,TRUE),"")</f>
        <v>22</v>
      </c>
      <c r="H22" s="50" t="str">
        <f>IFERROR(INDEX(NameStudent,MATCH(ROWS($H$1:$H22),Index,0)),"")</f>
        <v>Аметкулов Алибек Канатович;6-17М598/2019;827955;№6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817450</v>
      </c>
      <c r="B23" s="66" t="s">
        <v>1011</v>
      </c>
      <c r="C23" s="63" t="s">
        <v>1012</v>
      </c>
      <c r="D23" s="66" t="s">
        <v>55</v>
      </c>
      <c r="E23" s="50" t="str">
        <f t="shared" si="0"/>
        <v>Аминев Артем Рамильевич;6-16Р218/18;817450;№6</v>
      </c>
      <c r="F23" s="50" t="b">
        <f t="shared" si="1"/>
        <v>1</v>
      </c>
      <c r="G23" s="50">
        <f>IF($F23,COUNTIF($F$1:$F23,TRUE),"")</f>
        <v>23</v>
      </c>
      <c r="H23" s="50" t="str">
        <f>IFERROR(INDEX(NameStudent,MATCH(ROWS($H$1:$H23),Index,0)),"")</f>
        <v>Аминев Артем Рамильевич;6-16Р218/18;817450;№6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784843</v>
      </c>
      <c r="B24" s="66" t="s">
        <v>354</v>
      </c>
      <c r="C24" s="63" t="s">
        <v>355</v>
      </c>
      <c r="D24" s="66" t="s">
        <v>55</v>
      </c>
      <c r="E24" s="50" t="str">
        <f t="shared" si="0"/>
        <v>Андреященко Михаил Владимирович;6-17Р084 /2017;784843;№6</v>
      </c>
      <c r="F24" s="50" t="b">
        <f t="shared" si="1"/>
        <v>1</v>
      </c>
      <c r="G24" s="50">
        <f>IF($F24,COUNTIF($F$1:$F24,TRUE),"")</f>
        <v>24</v>
      </c>
      <c r="H24" s="50" t="str">
        <f>IFERROR(INDEX(NameStudent,MATCH(ROWS($H$1:$H24),Index,0)),"")</f>
        <v>Андреященко Михаил Владимирович;6-17Р084 /2017;784843;№6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148950</v>
      </c>
      <c r="B25" s="66" t="s">
        <v>312</v>
      </c>
      <c r="C25" s="63" t="s">
        <v>313</v>
      </c>
      <c r="D25" s="66" t="s">
        <v>55</v>
      </c>
      <c r="E25" s="50" t="str">
        <f t="shared" si="0"/>
        <v>Аникин Анатолий Петрович;6-13А001 /2016;148950;№6</v>
      </c>
      <c r="F25" s="50" t="b">
        <f t="shared" si="1"/>
        <v>1</v>
      </c>
      <c r="G25" s="50">
        <f>IF($F25,COUNTIF($F$1:$F25,TRUE),"")</f>
        <v>25</v>
      </c>
      <c r="H25" s="50" t="str">
        <f>IFERROR(INDEX(NameStudent,MATCH(ROWS($H$1:$H25),Index,0)),"")</f>
        <v>Аникин Анатолий Петрович;6-13А001 /2016;148950;№6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814825</v>
      </c>
      <c r="B26" s="66" t="s">
        <v>620</v>
      </c>
      <c r="C26" s="63" t="s">
        <v>621</v>
      </c>
      <c r="D26" s="66" t="s">
        <v>55</v>
      </c>
      <c r="E26" s="50" t="str">
        <f t="shared" si="0"/>
        <v>Аникин Максим Андреевич;6-18Р134/2018;814825;№6</v>
      </c>
      <c r="F26" s="50" t="b">
        <f t="shared" si="1"/>
        <v>1</v>
      </c>
      <c r="G26" s="50">
        <f>IF($F26,COUNTIF($F$1:$F26,TRUE),"")</f>
        <v>26</v>
      </c>
      <c r="H26" s="50" t="str">
        <f>IFERROR(INDEX(NameStudent,MATCH(ROWS($H$1:$H26),Index,0)),"")</f>
        <v>Аникин Максим Андреевич;6-18Р134/2018;814825;№6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142582</v>
      </c>
      <c r="B27" s="66" t="s">
        <v>202</v>
      </c>
      <c r="C27" s="63" t="s">
        <v>203</v>
      </c>
      <c r="D27" s="66" t="s">
        <v>55</v>
      </c>
      <c r="E27" s="50" t="str">
        <f t="shared" si="0"/>
        <v>Анохин Григорий Алексеевич;6-16Р191 /2016;142582;№6</v>
      </c>
      <c r="F27" s="50" t="b">
        <f t="shared" si="1"/>
        <v>1</v>
      </c>
      <c r="G27" s="50">
        <f>IF($F27,COUNTIF($F$1:$F27,TRUE),"")</f>
        <v>27</v>
      </c>
      <c r="H27" s="50" t="str">
        <f>IFERROR(INDEX(NameStudent,MATCH(ROWS($H$1:$H27),Index,0)),"")</f>
        <v>Анохин Григорий Алексеевич;6-16Р191 /2016;142582;№6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785022</v>
      </c>
      <c r="B28" s="66" t="s">
        <v>422</v>
      </c>
      <c r="C28" s="63" t="s">
        <v>423</v>
      </c>
      <c r="D28" s="66" t="s">
        <v>55</v>
      </c>
      <c r="E28" s="50" t="str">
        <f t="shared" si="0"/>
        <v>Антипова Анастасия Валерьевна;6-17РМ005 /2017;785022;№6</v>
      </c>
      <c r="F28" s="50" t="b">
        <f t="shared" si="1"/>
        <v>1</v>
      </c>
      <c r="G28" s="50">
        <f>IF($F28,COUNTIF($F$1:$F28,TRUE),"")</f>
        <v>28</v>
      </c>
      <c r="H28" s="50" t="str">
        <f>IFERROR(INDEX(NameStudent,MATCH(ROWS($H$1:$H28),Index,0)),"")</f>
        <v>Антипова Анастасия Валерьевна;6-17РМ005 /2017;785022;№6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785019</v>
      </c>
      <c r="B29" s="66" t="s">
        <v>420</v>
      </c>
      <c r="C29" s="63" t="s">
        <v>421</v>
      </c>
      <c r="D29" s="66" t="s">
        <v>55</v>
      </c>
      <c r="E29" s="50" t="str">
        <f t="shared" si="0"/>
        <v>Антонов Артём Сергеевич;6-17РМ006 /2017;785019;№6</v>
      </c>
      <c r="F29" s="50" t="b">
        <f t="shared" si="1"/>
        <v>1</v>
      </c>
      <c r="G29" s="50">
        <f>IF($F29,COUNTIF($F$1:$F29,TRUE),"")</f>
        <v>29</v>
      </c>
      <c r="H29" s="50" t="str">
        <f>IFERROR(INDEX(NameStudent,MATCH(ROWS($H$1:$H29),Index,0)),"")</f>
        <v>Антонов Артём Сергеевич;6-17РМ006 /2017;785019;№6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65">
        <v>148952</v>
      </c>
      <c r="B30" s="66" t="s">
        <v>314</v>
      </c>
      <c r="C30" s="63" t="s">
        <v>315</v>
      </c>
      <c r="D30" s="66" t="s">
        <v>55</v>
      </c>
      <c r="E30" s="50" t="str">
        <f t="shared" si="0"/>
        <v>Антонов Дмитрий Геннадьевич;6-13А002 /2016;148952;№6</v>
      </c>
      <c r="F30" s="50" t="b">
        <f t="shared" si="1"/>
        <v>1</v>
      </c>
      <c r="G30" s="50">
        <f>IF($F30,COUNTIF($F$1:$F30,TRUE),"")</f>
        <v>30</v>
      </c>
      <c r="H30" s="50" t="str">
        <f>IFERROR(INDEX(NameStudent,MATCH(ROWS($H$1:$H30),Index,0)),"")</f>
        <v>Антонов Дмитрий Геннадьевич;6-13А002 /2016;148952;№6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142594</v>
      </c>
      <c r="B31" s="66" t="s">
        <v>206</v>
      </c>
      <c r="C31" s="63" t="s">
        <v>207</v>
      </c>
      <c r="D31" s="66" t="s">
        <v>55</v>
      </c>
      <c r="E31" s="50" t="str">
        <f t="shared" si="0"/>
        <v>Арбузова Александра Викторовна;6-16Р131 /2016;142594;№6</v>
      </c>
      <c r="F31" s="50" t="b">
        <f t="shared" si="1"/>
        <v>1</v>
      </c>
      <c r="G31" s="50">
        <f>IF($F31,COUNTIF($F$1:$F31,TRUE),"")</f>
        <v>31</v>
      </c>
      <c r="H31" s="50" t="str">
        <f>IFERROR(INDEX(NameStudent,MATCH(ROWS($H$1:$H31),Index,0)),"")</f>
        <v>Арбузова Александра Викторовна;6-16Р131 /2016;142594;№6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816788</v>
      </c>
      <c r="B32" s="55" t="s">
        <v>811</v>
      </c>
      <c r="C32" s="58" t="s">
        <v>812</v>
      </c>
      <c r="D32" s="55" t="s">
        <v>55</v>
      </c>
      <c r="E32" s="50" t="str">
        <f t="shared" si="0"/>
        <v>Арискин Иван Владимирович;6-18ММ022/2018;816788;№6</v>
      </c>
      <c r="F32" s="50" t="b">
        <f t="shared" si="1"/>
        <v>1</v>
      </c>
      <c r="G32" s="50">
        <f>IF($F32,COUNTIF($F$1:$F32,TRUE),"")</f>
        <v>32</v>
      </c>
      <c r="H32" s="50" t="str">
        <f>IFERROR(INDEX(NameStudent,MATCH(ROWS($H$1:$H32),Index,0)),"")</f>
        <v>Арискин Иван Владимирович;6-18ММ022/2018;816788;№6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784844</v>
      </c>
      <c r="B33" s="66" t="s">
        <v>356</v>
      </c>
      <c r="C33" s="63" t="s">
        <v>357</v>
      </c>
      <c r="D33" s="66" t="s">
        <v>55</v>
      </c>
      <c r="E33" s="50" t="str">
        <f t="shared" si="0"/>
        <v>Артюшина Анастасия Михайловна;6-17Р135 /2017;784844;№6</v>
      </c>
      <c r="F33" s="50" t="b">
        <f t="shared" si="1"/>
        <v>1</v>
      </c>
      <c r="G33" s="50">
        <f>IF($F33,COUNTIF($F$1:$F33,TRUE),"")</f>
        <v>33</v>
      </c>
      <c r="H33" s="50" t="str">
        <f>IFERROR(INDEX(NameStudent,MATCH(ROWS($H$1:$H33),Index,0)),"")</f>
        <v>Артюшина Анастасия Михайловна;6-17Р135 /2017;784844;№6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55">
        <v>816791</v>
      </c>
      <c r="B34" s="55" t="s">
        <v>813</v>
      </c>
      <c r="C34" s="58" t="s">
        <v>814</v>
      </c>
      <c r="D34" s="55" t="s">
        <v>55</v>
      </c>
      <c r="E34" s="50" t="str">
        <f t="shared" si="0"/>
        <v>Аскаров Ильшат Рустемович;6-14Р152/2018;816791;№6</v>
      </c>
      <c r="F34" s="50" t="b">
        <f t="shared" si="1"/>
        <v>1</v>
      </c>
      <c r="G34" s="50">
        <f>IF($F34,COUNTIF($F$1:$F34,TRUE),"")</f>
        <v>34</v>
      </c>
      <c r="H34" s="50" t="str">
        <f>IFERROR(INDEX(NameStudent,MATCH(ROWS($H$1:$H34),Index,0)),"")</f>
        <v>Аскаров Ильшат Рустемович;6-14Р152/2018;816791;№6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814830</v>
      </c>
      <c r="B35" s="66" t="s">
        <v>622</v>
      </c>
      <c r="C35" s="63" t="s">
        <v>623</v>
      </c>
      <c r="D35" s="66" t="s">
        <v>55</v>
      </c>
      <c r="E35" s="50" t="str">
        <f t="shared" si="0"/>
        <v>Астафурова Карина Викторовна;6-18Р078/2018;814830;№6</v>
      </c>
      <c r="F35" s="50" t="b">
        <f t="shared" si="1"/>
        <v>1</v>
      </c>
      <c r="G35" s="50">
        <f>IF($F35,COUNTIF($F$1:$F35,TRUE),"")</f>
        <v>35</v>
      </c>
      <c r="H35" s="50" t="str">
        <f>IFERROR(INDEX(NameStudent,MATCH(ROWS($H$1:$H35),Index,0)),"")</f>
        <v>Астафурова Карина Викторовна;6-18Р078/2018;814830;№6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65">
        <v>127883</v>
      </c>
      <c r="B36" s="66" t="s">
        <v>180</v>
      </c>
      <c r="C36" s="63" t="s">
        <v>181</v>
      </c>
      <c r="D36" s="66" t="s">
        <v>55</v>
      </c>
      <c r="E36" s="50" t="str">
        <f t="shared" si="0"/>
        <v>Афанасьева Александра Андреевна;6-15Р099 /2015;127883;№6</v>
      </c>
      <c r="F36" s="50" t="b">
        <f t="shared" si="1"/>
        <v>1</v>
      </c>
      <c r="G36" s="50">
        <f>IF($F36,COUNTIF($F$1:$F36,TRUE),"")</f>
        <v>36</v>
      </c>
      <c r="H36" s="50" t="str">
        <f>IFERROR(INDEX(NameStudent,MATCH(ROWS($H$1:$H36),Index,0)),"")</f>
        <v>Афанасьева Александра Андреевна;6-15Р099 /2015;127883;№6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65">
        <v>817781</v>
      </c>
      <c r="B37" s="66" t="s">
        <v>1029</v>
      </c>
      <c r="C37" s="63" t="s">
        <v>1030</v>
      </c>
      <c r="D37" s="66" t="s">
        <v>55</v>
      </c>
      <c r="E37" s="50" t="str">
        <f t="shared" si="0"/>
        <v>Ахмедзянова Руслана Руслановна;6-18Р208/18;817781;№6</v>
      </c>
      <c r="F37" s="50" t="b">
        <f t="shared" si="1"/>
        <v>1</v>
      </c>
      <c r="G37" s="50">
        <f>IF($F37,COUNTIF($F$1:$F37,TRUE),"")</f>
        <v>37</v>
      </c>
      <c r="H37" s="50" t="str">
        <f>IFERROR(INDEX(NameStudent,MATCH(ROWS($H$1:$H37),Index,0)),"")</f>
        <v>Ахмедзянова Руслана Руслановна;6-18Р208/18;817781;№6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820650</v>
      </c>
      <c r="B38" s="66" t="s">
        <v>1183</v>
      </c>
      <c r="C38" s="63" t="s">
        <v>1184</v>
      </c>
      <c r="D38" s="66" t="s">
        <v>55</v>
      </c>
      <c r="E38" s="50" t="str">
        <f t="shared" si="0"/>
        <v>Ахылбек Санжар  ;6-16М594/2018;820650;№6</v>
      </c>
      <c r="F38" s="50" t="b">
        <f t="shared" si="1"/>
        <v>1</v>
      </c>
      <c r="G38" s="50">
        <f>IF($F38,COUNTIF($F$1:$F38,TRUE),"")</f>
        <v>38</v>
      </c>
      <c r="H38" s="50" t="str">
        <f>IFERROR(INDEX(NameStudent,MATCH(ROWS($H$1:$H38),Index,0)),"")</f>
        <v>Ахылбек Санжар  ;6-16М594/2018;820650;№6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55">
        <v>816793</v>
      </c>
      <c r="B39" s="55" t="s">
        <v>815</v>
      </c>
      <c r="C39" s="58" t="s">
        <v>816</v>
      </c>
      <c r="D39" s="55" t="s">
        <v>55</v>
      </c>
      <c r="E39" s="50" t="str">
        <f t="shared" si="0"/>
        <v>Бабкин Илья Вячеславович;6-18М002/2018;816793;№6</v>
      </c>
      <c r="F39" s="50" t="b">
        <f t="shared" si="1"/>
        <v>1</v>
      </c>
      <c r="G39" s="50">
        <f>IF($F39,COUNTIF($F$1:$F39,TRUE),"")</f>
        <v>39</v>
      </c>
      <c r="H39" s="50" t="str">
        <f>IFERROR(INDEX(NameStudent,MATCH(ROWS($H$1:$H39),Index,0)),"")</f>
        <v>Бабкин Илья Вячеславович;6-18М002/2018;816793;№6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55">
        <v>829752</v>
      </c>
      <c r="B40" s="55" t="s">
        <v>971</v>
      </c>
      <c r="C40" s="58" t="s">
        <v>972</v>
      </c>
      <c r="D40" s="55" t="s">
        <v>973</v>
      </c>
      <c r="E40" s="50" t="str">
        <f t="shared" si="0"/>
        <v>Баздырев Артём Александрович;6-16Р076/2019;829752;№3</v>
      </c>
      <c r="F40" s="50" t="b">
        <f t="shared" si="1"/>
        <v>1</v>
      </c>
      <c r="G40" s="50">
        <f>IF($F40,COUNTIF($F$1:$F40,TRUE),"")</f>
        <v>40</v>
      </c>
      <c r="H40" s="50" t="str">
        <f>IFERROR(INDEX(NameStudent,MATCH(ROWS($H$1:$H40),Index,0)),"")</f>
        <v>Баздырев Артём Александрович;6-16Р076/2019;829752;№3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142616</v>
      </c>
      <c r="B41" s="66" t="s">
        <v>208</v>
      </c>
      <c r="C41" s="63" t="s">
        <v>209</v>
      </c>
      <c r="D41" s="66" t="s">
        <v>55</v>
      </c>
      <c r="E41" s="50" t="str">
        <f t="shared" si="0"/>
        <v>Базуева Мария Дмитриевна;6-16Р102 /2016;142616;№6</v>
      </c>
      <c r="F41" s="50" t="b">
        <f t="shared" si="1"/>
        <v>1</v>
      </c>
      <c r="G41" s="50">
        <f>IF($F41,COUNTIF($F$1:$F41,TRUE),"")</f>
        <v>41</v>
      </c>
      <c r="H41" s="50" t="str">
        <f>IFERROR(INDEX(NameStudent,MATCH(ROWS($H$1:$H41),Index,0)),"")</f>
        <v>Базуева Мария Дмитриевна;6-16Р102 /2016;142616;№6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816729</v>
      </c>
      <c r="B42" s="66" t="s">
        <v>1061</v>
      </c>
      <c r="C42" s="63" t="s">
        <v>1062</v>
      </c>
      <c r="D42" s="66" t="s">
        <v>55</v>
      </c>
      <c r="E42" s="50" t="str">
        <f t="shared" si="0"/>
        <v>Байбурин Тимур Рафаэльевич;6-17М591/2018;816729;№6</v>
      </c>
      <c r="F42" s="50" t="b">
        <f t="shared" si="1"/>
        <v>1</v>
      </c>
      <c r="G42" s="50">
        <f>IF($F42,COUNTIF($F$1:$F42,TRUE),"")</f>
        <v>42</v>
      </c>
      <c r="H42" s="50" t="str">
        <f>IFERROR(INDEX(NameStudent,MATCH(ROWS($H$1:$H42),Index,0)),"")</f>
        <v>Байбурин Тимур Рафаэльевич;6-17М591/2018;816729;№6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785035</v>
      </c>
      <c r="B43" s="66" t="s">
        <v>428</v>
      </c>
      <c r="C43" s="63" t="s">
        <v>429</v>
      </c>
      <c r="D43" s="66" t="s">
        <v>55</v>
      </c>
      <c r="E43" s="50" t="str">
        <f t="shared" si="0"/>
        <v>Бакулевская Алина Витальевна;6-17Р136 /2017;785035;№6</v>
      </c>
      <c r="F43" s="50" t="b">
        <f t="shared" si="1"/>
        <v>1</v>
      </c>
      <c r="G43" s="50">
        <f>IF($F43,COUNTIF($F$1:$F43,TRUE),"")</f>
        <v>43</v>
      </c>
      <c r="H43" s="50" t="str">
        <f>IFERROR(INDEX(NameStudent,MATCH(ROWS($H$1:$H43),Index,0)),"")</f>
        <v>Бакулевская Алина Витальевна;6-17Р136 /2017;785035;№6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113484</v>
      </c>
      <c r="B44" s="66" t="s">
        <v>60</v>
      </c>
      <c r="C44" s="63" t="s">
        <v>61</v>
      </c>
      <c r="D44" s="66" t="s">
        <v>55</v>
      </c>
      <c r="E44" s="50" t="str">
        <f t="shared" si="0"/>
        <v>Балков Валерий Владиславович;6-14Р101/2014;113484;№6</v>
      </c>
      <c r="F44" s="50" t="b">
        <f t="shared" si="1"/>
        <v>1</v>
      </c>
      <c r="G44" s="50">
        <f>IF($F44,COUNTIF($F$1:$F44,TRUE),"")</f>
        <v>44</v>
      </c>
      <c r="H44" s="50" t="str">
        <f>IFERROR(INDEX(NameStudent,MATCH(ROWS($H$1:$H44),Index,0)),"")</f>
        <v>Балков Валерий Владиславович;6-14Р101/2014;113484;№6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820446</v>
      </c>
      <c r="B45" s="66" t="s">
        <v>1129</v>
      </c>
      <c r="C45" s="63" t="s">
        <v>1130</v>
      </c>
      <c r="D45" s="66" t="s">
        <v>55</v>
      </c>
      <c r="E45" s="50" t="str">
        <f t="shared" si="0"/>
        <v>Бао Цзясинь  ;6-18ИР06/2018;820446;№6</v>
      </c>
      <c r="F45" s="50" t="b">
        <f t="shared" si="1"/>
        <v>1</v>
      </c>
      <c r="G45" s="50">
        <f>IF($F45,COUNTIF($F$1:$F45,TRUE),"")</f>
        <v>45</v>
      </c>
      <c r="H45" s="50" t="str">
        <f>IFERROR(INDEX(NameStudent,MATCH(ROWS($H$1:$H45),Index,0)),"")</f>
        <v>Бао Цзясинь  ;6-18ИР06/2018;820446;№6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142624</v>
      </c>
      <c r="B46" s="66" t="s">
        <v>212</v>
      </c>
      <c r="C46" s="63" t="s">
        <v>213</v>
      </c>
      <c r="D46" s="66" t="s">
        <v>55</v>
      </c>
      <c r="E46" s="50" t="str">
        <f t="shared" si="0"/>
        <v>Барашкова Наталья Сергеевна;6-16Р014 /2016;142624;№6</v>
      </c>
      <c r="F46" s="50" t="b">
        <f t="shared" si="1"/>
        <v>1</v>
      </c>
      <c r="G46" s="50">
        <f>IF($F46,COUNTIF($F$1:$F46,TRUE),"")</f>
        <v>46</v>
      </c>
      <c r="H46" s="50" t="str">
        <f>IFERROR(INDEX(NameStudent,MATCH(ROWS($H$1:$H46),Index,0)),"")</f>
        <v>Барашкова Наталья Сергеевна;6-16Р014 /2016;142624;№6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65">
        <v>130820</v>
      </c>
      <c r="B47" s="66" t="s">
        <v>182</v>
      </c>
      <c r="C47" s="63" t="s">
        <v>183</v>
      </c>
      <c r="D47" s="66" t="s">
        <v>55</v>
      </c>
      <c r="E47" s="50" t="str">
        <f t="shared" si="0"/>
        <v>Бахарцев Никита Андреевич;6-15Ю002 /2015;130820;№6</v>
      </c>
      <c r="F47" s="50" t="b">
        <f t="shared" si="1"/>
        <v>1</v>
      </c>
      <c r="G47" s="50">
        <f>IF($F47,COUNTIF($F$1:$F47,TRUE),"")</f>
        <v>47</v>
      </c>
      <c r="H47" s="50" t="str">
        <f>IFERROR(INDEX(NameStudent,MATCH(ROWS($H$1:$H47),Index,0)),"")</f>
        <v>Бахарцев Никита Андреевич;6-15Ю002 /2015;130820;№6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142626</v>
      </c>
      <c r="B48" s="66" t="s">
        <v>214</v>
      </c>
      <c r="C48" s="63" t="s">
        <v>215</v>
      </c>
      <c r="D48" s="66" t="s">
        <v>55</v>
      </c>
      <c r="E48" s="50" t="str">
        <f t="shared" si="0"/>
        <v>Безруков Егор Алексеевич;6-16Р015 /2016;142626;№6</v>
      </c>
      <c r="F48" s="50" t="b">
        <f t="shared" si="1"/>
        <v>1</v>
      </c>
      <c r="G48" s="50">
        <f>IF($F48,COUNTIF($F$1:$F48,TRUE),"")</f>
        <v>48</v>
      </c>
      <c r="H48" s="50" t="str">
        <f>IFERROR(INDEX(NameStudent,MATCH(ROWS($H$1:$H48),Index,0)),"")</f>
        <v>Безруков Егор Алексеевич;6-16Р015 /2016;142626;№6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65">
        <v>814833</v>
      </c>
      <c r="B49" s="66" t="s">
        <v>1051</v>
      </c>
      <c r="C49" s="63" t="s">
        <v>1052</v>
      </c>
      <c r="D49" s="66" t="s">
        <v>55</v>
      </c>
      <c r="E49" s="50" t="str">
        <f t="shared" si="0"/>
        <v>Бексултанова Асель Жуматаевна;6-18Р021/2018;814833;№6</v>
      </c>
      <c r="F49" s="50" t="b">
        <f t="shared" si="1"/>
        <v>1</v>
      </c>
      <c r="G49" s="50">
        <f>IF($F49,COUNTIF($F$1:$F49,TRUE),"")</f>
        <v>49</v>
      </c>
      <c r="H49" s="50" t="str">
        <f>IFERROR(INDEX(NameStudent,MATCH(ROWS($H$1:$H49),Index,0)),"")</f>
        <v>Бексултанова Асель Жуматаевна;6-18Р021/2018;814833;№6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55">
        <v>817725</v>
      </c>
      <c r="B50" s="55" t="s">
        <v>877</v>
      </c>
      <c r="C50" s="58" t="s">
        <v>878</v>
      </c>
      <c r="D50" s="55" t="s">
        <v>55</v>
      </c>
      <c r="E50" s="50" t="str">
        <f t="shared" si="0"/>
        <v>Белов Александр Игоревич;6-18ММ026/2018;817725;№6</v>
      </c>
      <c r="F50" s="50" t="b">
        <f t="shared" si="1"/>
        <v>1</v>
      </c>
      <c r="G50" s="50">
        <f>IF($F50,COUNTIF($F$1:$F50,TRUE),"")</f>
        <v>50</v>
      </c>
      <c r="H50" s="50" t="str">
        <f>IFERROR(INDEX(NameStudent,MATCH(ROWS($H$1:$H50),Index,0)),"")</f>
        <v>Белов Александр Игоревич;6-18ММ026/2018;817725;№6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65">
        <v>142617</v>
      </c>
      <c r="B51" s="66" t="s">
        <v>210</v>
      </c>
      <c r="C51" s="63" t="s">
        <v>211</v>
      </c>
      <c r="D51" s="66" t="s">
        <v>55</v>
      </c>
      <c r="E51" s="50" t="str">
        <f t="shared" si="0"/>
        <v>Белов Егор Алексеевич;6-16Р142 /2016;142617;№6</v>
      </c>
      <c r="F51" s="50" t="b">
        <f t="shared" si="1"/>
        <v>1</v>
      </c>
      <c r="G51" s="50">
        <f>IF($F51,COUNTIF($F$1:$F51,TRUE),"")</f>
        <v>51</v>
      </c>
      <c r="H51" s="50" t="str">
        <f>IFERROR(INDEX(NameStudent,MATCH(ROWS($H$1:$H51),Index,0)),"")</f>
        <v>Белов Егор Алексеевич;6-16Р142 /2016;142617;№6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55">
        <v>816886</v>
      </c>
      <c r="B52" s="55" t="s">
        <v>873</v>
      </c>
      <c r="C52" s="58" t="s">
        <v>874</v>
      </c>
      <c r="D52" s="55" t="s">
        <v>55</v>
      </c>
      <c r="E52" s="50" t="str">
        <f t="shared" si="0"/>
        <v>Белозеров Алексей Андреевич;6-18Р049/2018;816886;№6</v>
      </c>
      <c r="F52" s="50" t="b">
        <f t="shared" si="1"/>
        <v>1</v>
      </c>
      <c r="G52" s="50">
        <f>IF($F52,COUNTIF($F$1:$F52,TRUE),"")</f>
        <v>52</v>
      </c>
      <c r="H52" s="50" t="str">
        <f>IFERROR(INDEX(NameStudent,MATCH(ROWS($H$1:$H52),Index,0)),"")</f>
        <v>Белозеров Алексей Андреевич;6-18Р049/2018;816886;№6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785036</v>
      </c>
      <c r="B53" s="66" t="s">
        <v>430</v>
      </c>
      <c r="C53" s="63" t="s">
        <v>431</v>
      </c>
      <c r="D53" s="66" t="s">
        <v>55</v>
      </c>
      <c r="E53" s="50" t="str">
        <f t="shared" si="0"/>
        <v>Белорусцева Дарья Валерьевна;6-17РМ008 /2017;785036;№6</v>
      </c>
      <c r="F53" s="50" t="b">
        <f t="shared" si="1"/>
        <v>1</v>
      </c>
      <c r="G53" s="50">
        <f>IF($F53,COUNTIF($F$1:$F53,TRUE),"")</f>
        <v>53</v>
      </c>
      <c r="H53" s="50" t="str">
        <f>IFERROR(INDEX(NameStudent,MATCH(ROWS($H$1:$H53),Index,0)),"")</f>
        <v>Белорусцева Дарья Валерьевна;6-17РМ008 /2017;785036;№6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55">
        <v>816800</v>
      </c>
      <c r="B54" s="55" t="s">
        <v>819</v>
      </c>
      <c r="C54" s="58" t="s">
        <v>820</v>
      </c>
      <c r="D54" s="55" t="s">
        <v>55</v>
      </c>
      <c r="E54" s="50" t="str">
        <f t="shared" si="0"/>
        <v>Белоусов Артем Викторович;6-14М082/2018;816800;№6</v>
      </c>
      <c r="F54" s="50" t="b">
        <f t="shared" si="1"/>
        <v>1</v>
      </c>
      <c r="G54" s="50">
        <f>IF($F54,COUNTIF($F$1:$F54,TRUE),"")</f>
        <v>54</v>
      </c>
      <c r="H54" s="50" t="str">
        <f>IFERROR(INDEX(NameStudent,MATCH(ROWS($H$1:$H54),Index,0)),"")</f>
        <v>Белоусов Артем Викторович;6-14М082/2018;816800;№6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148964</v>
      </c>
      <c r="B55" s="66" t="s">
        <v>318</v>
      </c>
      <c r="C55" s="63" t="s">
        <v>319</v>
      </c>
      <c r="D55" s="66" t="s">
        <v>55</v>
      </c>
      <c r="E55" s="50" t="str">
        <f t="shared" si="0"/>
        <v>Берецкая Татьяна Михайловна;6-16Р175 /2016;148964;№6</v>
      </c>
      <c r="F55" s="50" t="b">
        <f t="shared" si="1"/>
        <v>1</v>
      </c>
      <c r="G55" s="50">
        <f>IF($F55,COUNTIF($F$1:$F55,TRUE),"")</f>
        <v>55</v>
      </c>
      <c r="H55" s="50" t="str">
        <f>IFERROR(INDEX(NameStudent,MATCH(ROWS($H$1:$H55),Index,0)),"")</f>
        <v>Берецкая Татьяна Михайловна;6-16Р175 /2016;148964;№6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828079</v>
      </c>
      <c r="B56" s="66" t="s">
        <v>1045</v>
      </c>
      <c r="C56" s="63" t="s">
        <v>1046</v>
      </c>
      <c r="D56" s="66" t="s">
        <v>55</v>
      </c>
      <c r="E56" s="50" t="str">
        <f t="shared" si="0"/>
        <v>Берсанов Апти Хасмагомедович;6-17Р233/19;828079;№6</v>
      </c>
      <c r="F56" s="50" t="b">
        <f t="shared" si="1"/>
        <v>1</v>
      </c>
      <c r="G56" s="50">
        <f>IF($F56,COUNTIF($F$1:$F56,TRUE),"")</f>
        <v>56</v>
      </c>
      <c r="H56" s="50" t="str">
        <f>IFERROR(INDEX(NameStudent,MATCH(ROWS($H$1:$H56),Index,0)),"")</f>
        <v>Берсанов Апти Хасмагомедович;6-17Р233/19;828079;№6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148958</v>
      </c>
      <c r="B57" s="66" t="s">
        <v>316</v>
      </c>
      <c r="C57" s="63" t="s">
        <v>317</v>
      </c>
      <c r="D57" s="66" t="s">
        <v>55</v>
      </c>
      <c r="E57" s="50" t="str">
        <f t="shared" si="0"/>
        <v>Бобков Денис Эдуардович;6-16Р176 /2016;148958;№6</v>
      </c>
      <c r="F57" s="50" t="b">
        <f t="shared" si="1"/>
        <v>1</v>
      </c>
      <c r="G57" s="50">
        <f>IF($F57,COUNTIF($F$1:$F57,TRUE),"")</f>
        <v>57</v>
      </c>
      <c r="H57" s="50" t="str">
        <f>IFERROR(INDEX(NameStudent,MATCH(ROWS($H$1:$H57),Index,0)),"")</f>
        <v>Бобков Денис Эдуардович;6-16Р176 /2016;148958;№6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142633</v>
      </c>
      <c r="B58" s="66" t="s">
        <v>216</v>
      </c>
      <c r="C58" s="63" t="s">
        <v>217</v>
      </c>
      <c r="D58" s="66" t="s">
        <v>55</v>
      </c>
      <c r="E58" s="50" t="str">
        <f t="shared" si="0"/>
        <v>Бобров Георгий Сергеевич;6-16Р016 /2016;142633;№6</v>
      </c>
      <c r="F58" s="50" t="b">
        <f t="shared" si="1"/>
        <v>1</v>
      </c>
      <c r="G58" s="50">
        <f>IF($F58,COUNTIF($F$1:$F58,TRUE),"")</f>
        <v>58</v>
      </c>
      <c r="H58" s="50" t="str">
        <f>IFERROR(INDEX(NameStudent,MATCH(ROWS($H$1:$H58),Index,0)),"")</f>
        <v>Бобров Георгий Сергеевич;6-16Р016 /2016;142633;№6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65">
        <v>806161</v>
      </c>
      <c r="B59" s="66" t="s">
        <v>598</v>
      </c>
      <c r="C59" s="63" t="s">
        <v>599</v>
      </c>
      <c r="D59" s="66" t="s">
        <v>55</v>
      </c>
      <c r="E59" s="50" t="str">
        <f t="shared" si="0"/>
        <v>Бойцов Александр Вадимович;6-14Р052/2018;806161;№6</v>
      </c>
      <c r="F59" s="50" t="b">
        <f t="shared" si="1"/>
        <v>1</v>
      </c>
      <c r="G59" s="50">
        <f>IF($F59,COUNTIF($F$1:$F59,TRUE),"")</f>
        <v>59</v>
      </c>
      <c r="H59" s="50" t="str">
        <f>IFERROR(INDEX(NameStudent,MATCH(ROWS($H$1:$H59),Index,0)),"")</f>
        <v>Бойцов Александр Вадимович;6-14Р052/2018;806161;№6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785039</v>
      </c>
      <c r="B60" s="66" t="s">
        <v>432</v>
      </c>
      <c r="C60" s="63" t="s">
        <v>433</v>
      </c>
      <c r="D60" s="66" t="s">
        <v>55</v>
      </c>
      <c r="E60" s="50" t="str">
        <f t="shared" si="0"/>
        <v>Бортниченко Анастасия Игоревна;6-17Р140 /2017;785039;№6</v>
      </c>
      <c r="F60" s="50" t="b">
        <f t="shared" si="1"/>
        <v>1</v>
      </c>
      <c r="G60" s="50">
        <f>IF($F60,COUNTIF($F$1:$F60,TRUE),"")</f>
        <v>60</v>
      </c>
      <c r="H60" s="50" t="str">
        <f>IFERROR(INDEX(NameStudent,MATCH(ROWS($H$1:$H60),Index,0)),"")</f>
        <v>Бортниченко Анастасия Игоревна;6-17Р140 /2017;785039;№6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814837</v>
      </c>
      <c r="B61" s="66" t="s">
        <v>624</v>
      </c>
      <c r="C61" s="63" t="s">
        <v>625</v>
      </c>
      <c r="D61" s="66" t="s">
        <v>55</v>
      </c>
      <c r="E61" s="50" t="str">
        <f t="shared" si="0"/>
        <v>Бочковский Сергей Геннадьевич;6-18Р002/2018;814837;№6</v>
      </c>
      <c r="F61" s="50" t="b">
        <f t="shared" si="1"/>
        <v>1</v>
      </c>
      <c r="G61" s="50">
        <f>IF($F61,COUNTIF($F$1:$F61,TRUE),"")</f>
        <v>61</v>
      </c>
      <c r="H61" s="50" t="str">
        <f>IFERROR(INDEX(NameStudent,MATCH(ROWS($H$1:$H61),Index,0)),"")</f>
        <v>Бочковский Сергей Геннадьевич;6-18Р002/2018;814837;№6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788188</v>
      </c>
      <c r="B62" s="66" t="s">
        <v>546</v>
      </c>
      <c r="C62" s="63" t="s">
        <v>547</v>
      </c>
      <c r="D62" s="66" t="s">
        <v>55</v>
      </c>
      <c r="E62" s="50" t="str">
        <f t="shared" si="0"/>
        <v>Брагарчук Алексей Игоревич;6-14М611 /2017;788188;№6</v>
      </c>
      <c r="F62" s="50" t="b">
        <f t="shared" si="1"/>
        <v>1</v>
      </c>
      <c r="G62" s="50">
        <f>IF($F62,COUNTIF($F$1:$F62,TRUE),"")</f>
        <v>62</v>
      </c>
      <c r="H62" s="50" t="str">
        <f>IFERROR(INDEX(NameStudent,MATCH(ROWS($H$1:$H62),Index,0)),"")</f>
        <v>Брагарчук Алексей Игоревич;6-14М611 /2017;788188;№6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816795</v>
      </c>
      <c r="B63" s="55" t="s">
        <v>817</v>
      </c>
      <c r="C63" s="58" t="s">
        <v>818</v>
      </c>
      <c r="D63" s="55" t="s">
        <v>55</v>
      </c>
      <c r="E63" s="50" t="str">
        <f t="shared" si="0"/>
        <v>Будюкина Елена Николаевна;6-16Р908/2018;816795;№6</v>
      </c>
      <c r="F63" s="50" t="b">
        <f t="shared" si="1"/>
        <v>1</v>
      </c>
      <c r="G63" s="50">
        <f>IF($F63,COUNTIF($F$1:$F63,TRUE),"")</f>
        <v>63</v>
      </c>
      <c r="H63" s="50" t="str">
        <f>IFERROR(INDEX(NameStudent,MATCH(ROWS($H$1:$H63),Index,0)),"")</f>
        <v>Будюкина Елена Николаевна;6-16Р908/2018;816795;№6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814840</v>
      </c>
      <c r="B64" s="66" t="s">
        <v>626</v>
      </c>
      <c r="C64" s="63" t="s">
        <v>627</v>
      </c>
      <c r="D64" s="66" t="s">
        <v>55</v>
      </c>
      <c r="E64" s="50" t="str">
        <f t="shared" si="0"/>
        <v>Булгаков Денис Вячеславович;6-18Р056/2018;814840;№6</v>
      </c>
      <c r="F64" s="50" t="b">
        <f t="shared" si="1"/>
        <v>1</v>
      </c>
      <c r="G64" s="50">
        <f>IF($F64,COUNTIF($F$1:$F64,TRUE),"")</f>
        <v>64</v>
      </c>
      <c r="H64" s="50" t="str">
        <f>IFERROR(INDEX(NameStudent,MATCH(ROWS($H$1:$H64),Index,0)),"")</f>
        <v>Булгаков Денис Вячеславович;6-18Р056/2018;814840;№6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785393</v>
      </c>
      <c r="B65" s="66" t="s">
        <v>500</v>
      </c>
      <c r="C65" s="63" t="s">
        <v>501</v>
      </c>
      <c r="D65" s="66" t="s">
        <v>55</v>
      </c>
      <c r="E65" s="50" t="str">
        <f t="shared" ref="E65:E128" si="2">LEFT(C65,IF(ISERROR(FIND(":",C65))=TRUE,LEN(C65),FIND(":",C65)-1)) &amp; ";" &amp; B65 &amp; ";" &amp; A65 &amp; ";" &amp;D65</f>
        <v>Буреев Данила Артёмович;6-15М290 /2017;785393;№6</v>
      </c>
      <c r="F65" s="50" t="b">
        <f t="shared" ref="F65:F128" si="3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Буреев Данила Артёмович;6-15М290 /2017;785393;№6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65">
        <v>785040</v>
      </c>
      <c r="B66" s="66" t="s">
        <v>434</v>
      </c>
      <c r="C66" s="63" t="s">
        <v>435</v>
      </c>
      <c r="D66" s="66" t="s">
        <v>55</v>
      </c>
      <c r="E66" s="50" t="str">
        <f t="shared" si="2"/>
        <v>Бурмистров Владимир Викторович;6-17Р074 /2017;785040;№6</v>
      </c>
      <c r="F66" s="50" t="b">
        <f t="shared" si="3"/>
        <v>1</v>
      </c>
      <c r="G66" s="50">
        <f>IF($F66,COUNTIF($F$1:$F66,TRUE),"")</f>
        <v>66</v>
      </c>
      <c r="H66" s="50" t="str">
        <f>IFERROR(INDEX(NameStudent,MATCH(ROWS($H$1:$H66),Index,0)),"")</f>
        <v>Бурмистров Владимир Викторович;6-17Р074 /2017;785040;№6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55">
        <v>816805</v>
      </c>
      <c r="B67" s="55" t="s">
        <v>821</v>
      </c>
      <c r="C67" s="58" t="s">
        <v>822</v>
      </c>
      <c r="D67" s="55" t="s">
        <v>55</v>
      </c>
      <c r="E67" s="50" t="str">
        <f t="shared" si="2"/>
        <v>Бурцев Иван Сергеевич;6-15Р101/2018;816805;№6</v>
      </c>
      <c r="F67" s="50" t="b">
        <f t="shared" si="3"/>
        <v>1</v>
      </c>
      <c r="G67" s="50">
        <f>IF($F67,COUNTIF($F$1:$F67,TRUE),"")</f>
        <v>67</v>
      </c>
      <c r="H67" s="50" t="str">
        <f>IFERROR(INDEX(NameStudent,MATCH(ROWS($H$1:$H67),Index,0)),"")</f>
        <v>Бурцев Иван Сергеевич;6-15Р101/2018;816805;№6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784845</v>
      </c>
      <c r="B68" s="66" t="s">
        <v>358</v>
      </c>
      <c r="C68" s="63" t="s">
        <v>359</v>
      </c>
      <c r="D68" s="66" t="s">
        <v>55</v>
      </c>
      <c r="E68" s="50" t="str">
        <f t="shared" si="2"/>
        <v>Бутрина Анастасия Андреевна;6-17Р177 /2017;784845;№6</v>
      </c>
      <c r="F68" s="50" t="b">
        <f t="shared" si="3"/>
        <v>1</v>
      </c>
      <c r="G68" s="50">
        <f>IF($F68,COUNTIF($F$1:$F68,TRUE),"")</f>
        <v>68</v>
      </c>
      <c r="H68" s="50" t="str">
        <f>IFERROR(INDEX(NameStudent,MATCH(ROWS($H$1:$H68),Index,0)),"")</f>
        <v>Бутрина Анастасия Андреевна;6-17Р177 /2017;784845;№6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785042</v>
      </c>
      <c r="B69" s="66" t="s">
        <v>436</v>
      </c>
      <c r="C69" s="63" t="s">
        <v>437</v>
      </c>
      <c r="D69" s="66" t="s">
        <v>55</v>
      </c>
      <c r="E69" s="50" t="str">
        <f t="shared" si="2"/>
        <v>Бушмина Анастасия Владимировна;6-17РМ011 /2017;785042;№6</v>
      </c>
      <c r="F69" s="50" t="b">
        <f t="shared" si="3"/>
        <v>1</v>
      </c>
      <c r="G69" s="50">
        <f>IF($F69,COUNTIF($F$1:$F69,TRUE),"")</f>
        <v>69</v>
      </c>
      <c r="H69" s="50" t="str">
        <f>IFERROR(INDEX(NameStudent,MATCH(ROWS($H$1:$H69),Index,0)),"")</f>
        <v>Бушмина Анастасия Владимировна;6-17РМ011 /2017;785042;№6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55">
        <v>816883</v>
      </c>
      <c r="B70" s="55" t="s">
        <v>871</v>
      </c>
      <c r="C70" s="58" t="s">
        <v>872</v>
      </c>
      <c r="D70" s="55" t="s">
        <v>55</v>
      </c>
      <c r="E70" s="50" t="str">
        <f t="shared" si="2"/>
        <v>Быченков Александр Андреевич;6-18Р004/2018;816883;№6</v>
      </c>
      <c r="F70" s="50" t="b">
        <f t="shared" si="3"/>
        <v>1</v>
      </c>
      <c r="G70" s="50">
        <f>IF($F70,COUNTIF($F$1:$F70,TRUE),"")</f>
        <v>70</v>
      </c>
      <c r="H70" s="50" t="str">
        <f>IFERROR(INDEX(NameStudent,MATCH(ROWS($H$1:$H70),Index,0)),"")</f>
        <v>Быченков Александр Андреевич;6-18Р004/2018;816883;№6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814843</v>
      </c>
      <c r="B71" s="66" t="s">
        <v>628</v>
      </c>
      <c r="C71" s="63" t="s">
        <v>629</v>
      </c>
      <c r="D71" s="66" t="s">
        <v>55</v>
      </c>
      <c r="E71" s="50" t="str">
        <f t="shared" si="2"/>
        <v>Бычкова Екатерина Сергеевна;6-18Р136/2018;814843;№6</v>
      </c>
      <c r="F71" s="50" t="b">
        <f t="shared" si="3"/>
        <v>1</v>
      </c>
      <c r="G71" s="50">
        <f>IF($F71,COUNTIF($F$1:$F71,TRUE),"")</f>
        <v>71</v>
      </c>
      <c r="H71" s="50" t="str">
        <f>IFERROR(INDEX(NameStudent,MATCH(ROWS($H$1:$H71),Index,0)),"")</f>
        <v>Бычкова Екатерина Сергеевна;6-18Р136/2018;814843;№6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127686</v>
      </c>
      <c r="B72" s="66" t="s">
        <v>78</v>
      </c>
      <c r="C72" s="63" t="s">
        <v>79</v>
      </c>
      <c r="D72" s="66" t="s">
        <v>55</v>
      </c>
      <c r="E72" s="50" t="str">
        <f t="shared" si="2"/>
        <v>Вайхель Ангелина Александровна;6-15Ю026 /2015;127686;№6</v>
      </c>
      <c r="F72" s="50" t="b">
        <f t="shared" si="3"/>
        <v>1</v>
      </c>
      <c r="G72" s="50">
        <f>IF($F72,COUNTIF($F$1:$F72,TRUE),"")</f>
        <v>72</v>
      </c>
      <c r="H72" s="50" t="str">
        <f>IFERROR(INDEX(NameStudent,MATCH(ROWS($H$1:$H72),Index,0)),"")</f>
        <v>Вайхель Ангелина Александровна;6-15Ю026 /2015;127686;№6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792246</v>
      </c>
      <c r="B73" s="66" t="s">
        <v>1049</v>
      </c>
      <c r="C73" s="63" t="s">
        <v>1050</v>
      </c>
      <c r="D73" s="66" t="s">
        <v>55</v>
      </c>
      <c r="E73" s="50" t="str">
        <f t="shared" si="2"/>
        <v>Валпола Локуге Йешан Чамод  ;6-17ИМ65/2017;792246;№6</v>
      </c>
      <c r="F73" s="50" t="b">
        <f t="shared" si="3"/>
        <v>1</v>
      </c>
      <c r="G73" s="50">
        <f>IF($F73,COUNTIF($F$1:$F73,TRUE),"")</f>
        <v>73</v>
      </c>
      <c r="H73" s="50" t="str">
        <f>IFERROR(INDEX(NameStudent,MATCH(ROWS($H$1:$H73),Index,0)),"")</f>
        <v>Валпола Локуге Йешан Чамод  ;6-17ИМ65/2017;792246;№6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816740</v>
      </c>
      <c r="B74" s="66" t="s">
        <v>1065</v>
      </c>
      <c r="C74" s="63" t="s">
        <v>1066</v>
      </c>
      <c r="D74" s="66" t="s">
        <v>55</v>
      </c>
      <c r="E74" s="50" t="str">
        <f t="shared" si="2"/>
        <v>Ван Аньдун  ;6-16ИР01/2018;816740;№6</v>
      </c>
      <c r="F74" s="50" t="b">
        <f t="shared" si="3"/>
        <v>1</v>
      </c>
      <c r="G74" s="50">
        <f>IF($F74,COUNTIF($F$1:$F74,TRUE),"")</f>
        <v>74</v>
      </c>
      <c r="H74" s="50" t="str">
        <f>IFERROR(INDEX(NameStudent,MATCH(ROWS($H$1:$H74),Index,0)),"")</f>
        <v>Ван Аньдун  ;6-16ИР01/2018;816740;№6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816736</v>
      </c>
      <c r="B75" s="66" t="s">
        <v>1063</v>
      </c>
      <c r="C75" s="63" t="s">
        <v>1064</v>
      </c>
      <c r="D75" s="66" t="s">
        <v>55</v>
      </c>
      <c r="E75" s="50" t="str">
        <f t="shared" si="2"/>
        <v>Ван Сюаньхэ  ;6-17ИМ66/2018;816736;№6</v>
      </c>
      <c r="F75" s="50" t="b">
        <f t="shared" si="3"/>
        <v>1</v>
      </c>
      <c r="G75" s="50">
        <f>IF($F75,COUNTIF($F$1:$F75,TRUE),"")</f>
        <v>75</v>
      </c>
      <c r="H75" s="50" t="str">
        <f>IFERROR(INDEX(NameStudent,MATCH(ROWS($H$1:$H75),Index,0)),"")</f>
        <v>Ван Сюаньхэ  ;6-17ИМ66/2018;816736;№6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820450</v>
      </c>
      <c r="B76" s="66" t="s">
        <v>1131</v>
      </c>
      <c r="C76" s="63" t="s">
        <v>1132</v>
      </c>
      <c r="D76" s="66" t="s">
        <v>55</v>
      </c>
      <c r="E76" s="50" t="str">
        <f t="shared" si="2"/>
        <v>Ван Цзэкай  ;6-18ИМ61/2018;820450;№6</v>
      </c>
      <c r="F76" s="50" t="b">
        <f t="shared" si="3"/>
        <v>1</v>
      </c>
      <c r="G76" s="50">
        <f>IF($F76,COUNTIF($F$1:$F76,TRUE),"")</f>
        <v>76</v>
      </c>
      <c r="H76" s="50" t="str">
        <f>IFERROR(INDEX(NameStudent,MATCH(ROWS($H$1:$H76),Index,0)),"")</f>
        <v>Ван Цзэкай  ;6-18ИМ61/2018;820450;№6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820350</v>
      </c>
      <c r="B77" s="66" t="s">
        <v>1121</v>
      </c>
      <c r="C77" s="63" t="s">
        <v>1122</v>
      </c>
      <c r="D77" s="66" t="s">
        <v>55</v>
      </c>
      <c r="E77" s="50" t="str">
        <f t="shared" si="2"/>
        <v>Ван Цзюи  ;6-17ИР02/2018;820350;№6</v>
      </c>
      <c r="F77" s="50" t="b">
        <f t="shared" si="3"/>
        <v>1</v>
      </c>
      <c r="G77" s="50">
        <f>IF($F77,COUNTIF($F$1:$F77,TRUE),"")</f>
        <v>77</v>
      </c>
      <c r="H77" s="50" t="str">
        <f>IFERROR(INDEX(NameStudent,MATCH(ROWS($H$1:$H77),Index,0)),"")</f>
        <v>Ван Цзюи  ;6-17ИР02/2018;820350;№6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816743</v>
      </c>
      <c r="B78" s="66" t="s">
        <v>1067</v>
      </c>
      <c r="C78" s="63" t="s">
        <v>1068</v>
      </c>
      <c r="D78" s="66" t="s">
        <v>55</v>
      </c>
      <c r="E78" s="50" t="str">
        <f t="shared" si="2"/>
        <v>Ван Чанмин  ;6-16ИР02/2018;816743;№6</v>
      </c>
      <c r="F78" s="50" t="b">
        <f t="shared" si="3"/>
        <v>1</v>
      </c>
      <c r="G78" s="50">
        <f>IF($F78,COUNTIF($F$1:$F78,TRUE),"")</f>
        <v>78</v>
      </c>
      <c r="H78" s="50" t="str">
        <f>IFERROR(INDEX(NameStudent,MATCH(ROWS($H$1:$H78),Index,0)),"")</f>
        <v>Ван Чанмин  ;6-16ИР02/2018;816743;№6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788189</v>
      </c>
      <c r="B79" s="66" t="s">
        <v>548</v>
      </c>
      <c r="C79" s="63" t="s">
        <v>549</v>
      </c>
      <c r="D79" s="66" t="s">
        <v>55</v>
      </c>
      <c r="E79" s="50" t="str">
        <f t="shared" si="2"/>
        <v>Варсеева Софья Александровна;6-17Р104 /2017;788189;№6</v>
      </c>
      <c r="F79" s="50" t="b">
        <f t="shared" si="3"/>
        <v>1</v>
      </c>
      <c r="G79" s="50">
        <f>IF($F79,COUNTIF($F$1:$F79,TRUE),"")</f>
        <v>79</v>
      </c>
      <c r="H79" s="50" t="str">
        <f>IFERROR(INDEX(NameStudent,MATCH(ROWS($H$1:$H79),Index,0)),"")</f>
        <v>Варсеева Софья Александровна;6-17Р104 /2017;788189;№6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65">
        <v>814845</v>
      </c>
      <c r="B80" s="66" t="s">
        <v>630</v>
      </c>
      <c r="C80" s="63" t="s">
        <v>631</v>
      </c>
      <c r="D80" s="66" t="s">
        <v>55</v>
      </c>
      <c r="E80" s="50" t="str">
        <f t="shared" si="2"/>
        <v>Верховский Кирилл Артемович;6-18Р165/2018;814845;№6</v>
      </c>
      <c r="F80" s="50" t="b">
        <f t="shared" si="3"/>
        <v>1</v>
      </c>
      <c r="G80" s="50">
        <f>IF($F80,COUNTIF($F$1:$F80,TRUE),"")</f>
        <v>80</v>
      </c>
      <c r="H80" s="50" t="str">
        <f>IFERROR(INDEX(NameStudent,MATCH(ROWS($H$1:$H80),Index,0)),"")</f>
        <v>Верховский Кирилл Артемович;6-18Р165/2018;814845;№6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127688</v>
      </c>
      <c r="B81" s="66" t="s">
        <v>80</v>
      </c>
      <c r="C81" s="63" t="s">
        <v>81</v>
      </c>
      <c r="D81" s="66" t="s">
        <v>55</v>
      </c>
      <c r="E81" s="50" t="str">
        <f t="shared" si="2"/>
        <v>Викулин Сергей Дмитриевич;6-15Р103 /2015;127688;№6</v>
      </c>
      <c r="F81" s="50" t="b">
        <f t="shared" si="3"/>
        <v>1</v>
      </c>
      <c r="G81" s="50">
        <f>IF($F81,COUNTIF($F$1:$F81,TRUE),"")</f>
        <v>81</v>
      </c>
      <c r="H81" s="50" t="str">
        <f>IFERROR(INDEX(NameStudent,MATCH(ROWS($H$1:$H81),Index,0)),"")</f>
        <v>Викулин Сергей Дмитриевич;6-15Р103 /2015;127688;№6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127689</v>
      </c>
      <c r="B82" s="66" t="s">
        <v>82</v>
      </c>
      <c r="C82" s="63" t="s">
        <v>83</v>
      </c>
      <c r="D82" s="66" t="s">
        <v>55</v>
      </c>
      <c r="E82" s="50" t="str">
        <f t="shared" si="2"/>
        <v>Власевский Владимир Николаевич;6-15Р012 /2015;127689;№6</v>
      </c>
      <c r="F82" s="50" t="b">
        <f t="shared" si="3"/>
        <v>1</v>
      </c>
      <c r="G82" s="50">
        <f>IF($F82,COUNTIF($F$1:$F82,TRUE),"")</f>
        <v>82</v>
      </c>
      <c r="H82" s="50" t="str">
        <f>IFERROR(INDEX(NameStudent,MATCH(ROWS($H$1:$H82),Index,0)),"")</f>
        <v>Власевский Владимир Николаевич;6-15Р012 /2015;127689;№6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785044</v>
      </c>
      <c r="B83" s="66" t="s">
        <v>438</v>
      </c>
      <c r="C83" s="63" t="s">
        <v>439</v>
      </c>
      <c r="D83" s="66" t="s">
        <v>55</v>
      </c>
      <c r="E83" s="50" t="str">
        <f t="shared" si="2"/>
        <v>Власенко Юрий Сергеевич;6-17Р030 /2017;785044;№6</v>
      </c>
      <c r="F83" s="50" t="b">
        <f t="shared" si="3"/>
        <v>1</v>
      </c>
      <c r="G83" s="50">
        <f>IF($F83,COUNTIF($F$1:$F83,TRUE),"")</f>
        <v>83</v>
      </c>
      <c r="H83" s="50" t="str">
        <f>IFERROR(INDEX(NameStudent,MATCH(ROWS($H$1:$H83),Index,0)),"")</f>
        <v>Власенко Юрий Сергеевич;6-17Р030 /2017;785044;№6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55">
        <v>827181</v>
      </c>
      <c r="B84" s="55" t="s">
        <v>953</v>
      </c>
      <c r="C84" s="58" t="s">
        <v>954</v>
      </c>
      <c r="D84" s="55" t="s">
        <v>55</v>
      </c>
      <c r="E84" s="50" t="str">
        <f t="shared" si="2"/>
        <v>Власовец Роман Валерьевич;6-17Р106/2019;827181;№6</v>
      </c>
      <c r="F84" s="50" t="b">
        <f t="shared" si="3"/>
        <v>1</v>
      </c>
      <c r="G84" s="50">
        <f>IF($F84,COUNTIF($F$1:$F84,TRUE),"")</f>
        <v>84</v>
      </c>
      <c r="H84" s="50" t="str">
        <f>IFERROR(INDEX(NameStudent,MATCH(ROWS($H$1:$H84),Index,0)),"")</f>
        <v>Власовец Роман Валерьевич;6-17Р106/2019;827181;№6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789712</v>
      </c>
      <c r="B85" s="66" t="s">
        <v>576</v>
      </c>
      <c r="C85" s="63" t="s">
        <v>577</v>
      </c>
      <c r="D85" s="66" t="s">
        <v>55</v>
      </c>
      <c r="E85" s="50" t="str">
        <f t="shared" si="2"/>
        <v>Волгина Анастасия Дмитриевна;6-17Р031 /2017;789712;№6</v>
      </c>
      <c r="F85" s="50" t="b">
        <f t="shared" si="3"/>
        <v>1</v>
      </c>
      <c r="G85" s="50">
        <f>IF($F85,COUNTIF($F$1:$F85,TRUE),"")</f>
        <v>85</v>
      </c>
      <c r="H85" s="50" t="str">
        <f>IFERROR(INDEX(NameStudent,MATCH(ROWS($H$1:$H85),Index,0)),"")</f>
        <v>Волгина Анастасия Дмитриевна;6-17Р031 /2017;789712;№6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148972</v>
      </c>
      <c r="B86" s="66" t="s">
        <v>320</v>
      </c>
      <c r="C86" s="63" t="s">
        <v>321</v>
      </c>
      <c r="D86" s="66" t="s">
        <v>55</v>
      </c>
      <c r="E86" s="50" t="str">
        <f t="shared" si="2"/>
        <v>Волков Александр Михайлович;6-16Р143 /2016;148972;№6</v>
      </c>
      <c r="F86" s="50" t="b">
        <f t="shared" si="3"/>
        <v>1</v>
      </c>
      <c r="G86" s="50">
        <f>IF($F86,COUNTIF($F$1:$F86,TRUE),"")</f>
        <v>86</v>
      </c>
      <c r="H86" s="50" t="str">
        <f>IFERROR(INDEX(NameStudent,MATCH(ROWS($H$1:$H86),Index,0)),"")</f>
        <v>Волков Александр Михайлович;6-16Р143 /2016;148972;№6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785045</v>
      </c>
      <c r="B87" s="66" t="s">
        <v>440</v>
      </c>
      <c r="C87" s="63" t="s">
        <v>441</v>
      </c>
      <c r="D87" s="66" t="s">
        <v>55</v>
      </c>
      <c r="E87" s="50" t="str">
        <f t="shared" si="2"/>
        <v>Воловик Максим Александрович;6-17Р032 /2017;785045;№6</v>
      </c>
      <c r="F87" s="50" t="b">
        <f t="shared" si="3"/>
        <v>1</v>
      </c>
      <c r="G87" s="50">
        <f>IF($F87,COUNTIF($F$1:$F87,TRUE),"")</f>
        <v>87</v>
      </c>
      <c r="H87" s="50" t="str">
        <f>IFERROR(INDEX(NameStudent,MATCH(ROWS($H$1:$H87),Index,0)),"")</f>
        <v>Воловик Максим Александрович;6-17Р032 /2017;785045;№6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788615</v>
      </c>
      <c r="B88" s="66" t="s">
        <v>566</v>
      </c>
      <c r="C88" s="63" t="s">
        <v>567</v>
      </c>
      <c r="D88" s="66" t="s">
        <v>55</v>
      </c>
      <c r="E88" s="50" t="str">
        <f t="shared" si="2"/>
        <v>Володина Маргарита Валерьевна;6-16М275 /2017;788615;№6</v>
      </c>
      <c r="F88" s="50" t="b">
        <f t="shared" si="3"/>
        <v>1</v>
      </c>
      <c r="G88" s="50">
        <f>IF($F88,COUNTIF($F$1:$F88,TRUE),"")</f>
        <v>88</v>
      </c>
      <c r="H88" s="50" t="str">
        <f>IFERROR(INDEX(NameStudent,MATCH(ROWS($H$1:$H88),Index,0)),"")</f>
        <v>Володина Маргарита Валерьевна;6-16М275 /2017;788615;№6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65">
        <v>779788</v>
      </c>
      <c r="B89" s="66" t="s">
        <v>346</v>
      </c>
      <c r="C89" s="63" t="s">
        <v>347</v>
      </c>
      <c r="D89" s="66" t="s">
        <v>55</v>
      </c>
      <c r="E89" s="50" t="str">
        <f t="shared" si="2"/>
        <v>Волотов Иван Витальевич;6-16Т027 /2017;779788;№6</v>
      </c>
      <c r="F89" s="50" t="b">
        <f t="shared" si="3"/>
        <v>1</v>
      </c>
      <c r="G89" s="50">
        <f>IF($F89,COUNTIF($F$1:$F89,TRUE),"")</f>
        <v>89</v>
      </c>
      <c r="H89" s="50" t="str">
        <f>IFERROR(INDEX(NameStudent,MATCH(ROWS($H$1:$H89),Index,0)),"")</f>
        <v>Волотов Иван Витальевич;6-16Т027 /2017;779788;№6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799855</v>
      </c>
      <c r="B90" s="66" t="s">
        <v>592</v>
      </c>
      <c r="C90" s="63" t="s">
        <v>593</v>
      </c>
      <c r="D90" s="66" t="s">
        <v>55</v>
      </c>
      <c r="E90" s="50" t="str">
        <f t="shared" si="2"/>
        <v>Воронцов Евгений Альбертович;6-15М297/2017;799855;№6</v>
      </c>
      <c r="F90" s="50" t="b">
        <f t="shared" si="3"/>
        <v>1</v>
      </c>
      <c r="G90" s="50">
        <f>IF($F90,COUNTIF($F$1:$F90,TRUE),"")</f>
        <v>90</v>
      </c>
      <c r="H90" s="50" t="str">
        <f>IFERROR(INDEX(NameStudent,MATCH(ROWS($H$1:$H90),Index,0)),"")</f>
        <v>Воронцов Евгений Альбертович;6-15М297/2017;799855;№6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822720</v>
      </c>
      <c r="B91" s="66" t="s">
        <v>1197</v>
      </c>
      <c r="C91" s="63" t="s">
        <v>1198</v>
      </c>
      <c r="D91" s="66" t="s">
        <v>55</v>
      </c>
      <c r="E91" s="50" t="str">
        <f t="shared" si="2"/>
        <v>Ву Минь Дык  ;6-18ИМ62/2018;822720;№6</v>
      </c>
      <c r="F91" s="50" t="b">
        <f t="shared" si="3"/>
        <v>1</v>
      </c>
      <c r="G91" s="50">
        <f>IF($F91,COUNTIF($F$1:$F91,TRUE),"")</f>
        <v>91</v>
      </c>
      <c r="H91" s="50" t="str">
        <f>IFERROR(INDEX(NameStudent,MATCH(ROWS($H$1:$H91),Index,0)),"")</f>
        <v>Ву Минь Дык  ;6-18ИМ62/2018;822720;№6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788190</v>
      </c>
      <c r="B92" s="66" t="s">
        <v>550</v>
      </c>
      <c r="C92" s="63" t="s">
        <v>551</v>
      </c>
      <c r="D92" s="66" t="s">
        <v>55</v>
      </c>
      <c r="E92" s="50" t="str">
        <f t="shared" si="2"/>
        <v>Высоких Дмитрий Юрьевич;6-17Р178 /2017;788190;№6</v>
      </c>
      <c r="F92" s="50" t="b">
        <f t="shared" si="3"/>
        <v>1</v>
      </c>
      <c r="G92" s="50">
        <f>IF($F92,COUNTIF($F$1:$F92,TRUE),"")</f>
        <v>92</v>
      </c>
      <c r="H92" s="50" t="str">
        <f>IFERROR(INDEX(NameStudent,MATCH(ROWS($H$1:$H92),Index,0)),"")</f>
        <v>Высоких Дмитрий Юрьевич;6-17Р178 /2017;788190;№6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55">
        <v>820677</v>
      </c>
      <c r="B93" s="55" t="s">
        <v>927</v>
      </c>
      <c r="C93" s="58" t="s">
        <v>928</v>
      </c>
      <c r="D93" s="55" t="s">
        <v>55</v>
      </c>
      <c r="E93" s="50" t="str">
        <f t="shared" si="2"/>
        <v>Вьюнов Тимофей Александрович;6-13М341/2018;820677;№6</v>
      </c>
      <c r="F93" s="50" t="b">
        <f t="shared" si="3"/>
        <v>1</v>
      </c>
      <c r="G93" s="50">
        <f>IF($F93,COUNTIF($F$1:$F93,TRUE),"")</f>
        <v>93</v>
      </c>
      <c r="H93" s="50" t="str">
        <f>IFERROR(INDEX(NameStudent,MATCH(ROWS($H$1:$H93),Index,0)),"")</f>
        <v>Вьюнов Тимофей Александрович;6-13М341/2018;820677;№6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814847</v>
      </c>
      <c r="B94" s="66" t="s">
        <v>632</v>
      </c>
      <c r="C94" s="63" t="s">
        <v>633</v>
      </c>
      <c r="D94" s="66" t="s">
        <v>55</v>
      </c>
      <c r="E94" s="50" t="str">
        <f t="shared" si="2"/>
        <v>Габаева Раяна Султановна;6-18Р081/2018;814847;№6</v>
      </c>
      <c r="F94" s="50" t="b">
        <f t="shared" si="3"/>
        <v>1</v>
      </c>
      <c r="G94" s="50">
        <f>IF($F94,COUNTIF($F$1:$F94,TRUE),"")</f>
        <v>94</v>
      </c>
      <c r="H94" s="50" t="str">
        <f>IFERROR(INDEX(NameStudent,MATCH(ROWS($H$1:$H94),Index,0)),"")</f>
        <v>Габаева Раяна Султановна;6-18Р081/2018;814847;№6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142661</v>
      </c>
      <c r="B95" s="66" t="s">
        <v>218</v>
      </c>
      <c r="C95" s="63" t="s">
        <v>219</v>
      </c>
      <c r="D95" s="66" t="s">
        <v>55</v>
      </c>
      <c r="E95" s="50" t="str">
        <f t="shared" si="2"/>
        <v>Габдрафиков Дамир Рустамович;6-16Р144 /2016;142661;№6</v>
      </c>
      <c r="F95" s="50" t="b">
        <f t="shared" si="3"/>
        <v>1</v>
      </c>
      <c r="G95" s="50">
        <f>IF($F95,COUNTIF($F$1:$F95,TRUE),"")</f>
        <v>95</v>
      </c>
      <c r="H95" s="50" t="str">
        <f>IFERROR(INDEX(NameStudent,MATCH(ROWS($H$1:$H95),Index,0)),"")</f>
        <v>Габдрафиков Дамир Рустамович;6-16Р144 /2016;142661;№6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814849</v>
      </c>
      <c r="B96" s="66" t="s">
        <v>634</v>
      </c>
      <c r="C96" s="63" t="s">
        <v>635</v>
      </c>
      <c r="D96" s="66" t="s">
        <v>55</v>
      </c>
      <c r="E96" s="50" t="str">
        <f t="shared" si="2"/>
        <v>Гавриков Алексей Михайлович;6-18ММ036/2018;814849;№6</v>
      </c>
      <c r="F96" s="50" t="b">
        <f t="shared" si="3"/>
        <v>1</v>
      </c>
      <c r="G96" s="50">
        <f>IF($F96,COUNTIF($F$1:$F96,TRUE),"")</f>
        <v>96</v>
      </c>
      <c r="H96" s="50" t="str">
        <f>IFERROR(INDEX(NameStudent,MATCH(ROWS($H$1:$H96),Index,0)),"")</f>
        <v>Гавриков Алексей Михайлович;6-18ММ036/2018;814849;№6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148974</v>
      </c>
      <c r="B97" s="66" t="s">
        <v>1047</v>
      </c>
      <c r="C97" s="63" t="s">
        <v>1048</v>
      </c>
      <c r="D97" s="66" t="s">
        <v>55</v>
      </c>
      <c r="E97" s="50" t="str">
        <f t="shared" si="2"/>
        <v>Гавриленко Роман Владимирович;6-16Р401 /2016;148974;№6</v>
      </c>
      <c r="F97" s="50" t="b">
        <f t="shared" si="3"/>
        <v>1</v>
      </c>
      <c r="G97" s="50">
        <f>IF($F97,COUNTIF($F$1:$F97,TRUE),"")</f>
        <v>97</v>
      </c>
      <c r="H97" s="50" t="str">
        <f>IFERROR(INDEX(NameStudent,MATCH(ROWS($H$1:$H97),Index,0)),"")</f>
        <v>Гавриленко Роман Владимирович;6-16Р401 /2016;148974;№6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816139</v>
      </c>
      <c r="B98" s="66" t="s">
        <v>999</v>
      </c>
      <c r="C98" s="63" t="s">
        <v>1000</v>
      </c>
      <c r="D98" s="66" t="s">
        <v>55</v>
      </c>
      <c r="E98" s="50" t="str">
        <f t="shared" si="2"/>
        <v>Гаевский Илья Леонидович;6-18Р211/18;816139;№6</v>
      </c>
      <c r="F98" s="50" t="b">
        <f t="shared" si="3"/>
        <v>1</v>
      </c>
      <c r="G98" s="50">
        <f>IF($F98,COUNTIF($F$1:$F98,TRUE),"")</f>
        <v>98</v>
      </c>
      <c r="H98" s="50" t="str">
        <f>IFERROR(INDEX(NameStudent,MATCH(ROWS($H$1:$H98),Index,0)),"")</f>
        <v>Гаевский Илья Леонидович;6-18Р211/18;816139;№6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785046</v>
      </c>
      <c r="B99" s="66" t="s">
        <v>442</v>
      </c>
      <c r="C99" s="63" t="s">
        <v>443</v>
      </c>
      <c r="D99" s="66" t="s">
        <v>55</v>
      </c>
      <c r="E99" s="50" t="str">
        <f t="shared" si="2"/>
        <v>Гайнетдинова Арина Артуровна;6-17Р107 /2017;785046;№6</v>
      </c>
      <c r="F99" s="50" t="b">
        <f t="shared" si="3"/>
        <v>1</v>
      </c>
      <c r="G99" s="50">
        <f>IF($F99,COUNTIF($F$1:$F99,TRUE),"")</f>
        <v>99</v>
      </c>
      <c r="H99" s="50" t="str">
        <f>IFERROR(INDEX(NameStudent,MATCH(ROWS($H$1:$H99),Index,0)),"")</f>
        <v>Гайнетдинова Арина Артуровна;6-17Р107 /2017;785046;№6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142662</v>
      </c>
      <c r="B100" s="66" t="s">
        <v>220</v>
      </c>
      <c r="C100" s="63" t="s">
        <v>221</v>
      </c>
      <c r="D100" s="66" t="s">
        <v>55</v>
      </c>
      <c r="E100" s="50" t="str">
        <f t="shared" si="2"/>
        <v>Галимьянов Данил Айварович;6-16Р177 /2016;142662;№6</v>
      </c>
      <c r="F100" s="50" t="b">
        <f t="shared" si="3"/>
        <v>1</v>
      </c>
      <c r="G100" s="50">
        <f>IF($F100,COUNTIF($F$1:$F100,TRUE),"")</f>
        <v>100</v>
      </c>
      <c r="H100" s="50" t="str">
        <f>IFERROR(INDEX(NameStudent,MATCH(ROWS($H$1:$H100),Index,0)),"")</f>
        <v>Галимьянов Данил Айварович;6-16Р177 /2016;142662;№6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65">
        <v>816745</v>
      </c>
      <c r="B101" s="66" t="s">
        <v>1069</v>
      </c>
      <c r="C101" s="63" t="s">
        <v>1070</v>
      </c>
      <c r="D101" s="66" t="s">
        <v>55</v>
      </c>
      <c r="E101" s="50" t="str">
        <f t="shared" si="2"/>
        <v>Гараджаев Мухамметмырат  ;6-16Р402/2018;816745;№6</v>
      </c>
      <c r="F101" s="50" t="b">
        <f t="shared" si="3"/>
        <v>1</v>
      </c>
      <c r="G101" s="50">
        <f>IF($F101,COUNTIF($F$1:$F101,TRUE),"")</f>
        <v>101</v>
      </c>
      <c r="H101" s="50" t="str">
        <f>IFERROR(INDEX(NameStudent,MATCH(ROWS($H$1:$H101),Index,0)),"")</f>
        <v>Гараджаев Мухамметмырат  ;6-16Р402/2018;816745;№6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127693</v>
      </c>
      <c r="B102" s="66" t="s">
        <v>84</v>
      </c>
      <c r="C102" s="63" t="s">
        <v>85</v>
      </c>
      <c r="D102" s="66" t="s">
        <v>55</v>
      </c>
      <c r="E102" s="50" t="str">
        <f t="shared" si="2"/>
        <v>Гарифуллин Тимур Талгатович;6-15Р104 /2015;127693;№6</v>
      </c>
      <c r="F102" s="50" t="b">
        <f t="shared" si="3"/>
        <v>1</v>
      </c>
      <c r="G102" s="50">
        <f>IF($F102,COUNTIF($F$1:$F102,TRUE),"")</f>
        <v>102</v>
      </c>
      <c r="H102" s="50" t="str">
        <f>IFERROR(INDEX(NameStudent,MATCH(ROWS($H$1:$H102),Index,0)),"")</f>
        <v>Гарифуллин Тимур Талгатович;6-15Р104 /2015;127693;№6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814851</v>
      </c>
      <c r="B103" s="66" t="s">
        <v>636</v>
      </c>
      <c r="C103" s="63" t="s">
        <v>637</v>
      </c>
      <c r="D103" s="66" t="s">
        <v>55</v>
      </c>
      <c r="E103" s="50" t="str">
        <f t="shared" si="2"/>
        <v>Гаркуша Алексей Васильевич;6-18Р082/2018;814851;№6</v>
      </c>
      <c r="F103" s="50" t="b">
        <f t="shared" si="3"/>
        <v>1</v>
      </c>
      <c r="G103" s="50">
        <f>IF($F103,COUNTIF($F$1:$F103,TRUE),"")</f>
        <v>103</v>
      </c>
      <c r="H103" s="50" t="str">
        <f>IFERROR(INDEX(NameStudent,MATCH(ROWS($H$1:$H103),Index,0)),"")</f>
        <v>Гаркуша Алексей Васильевич;6-18Р082/2018;814851;№6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785047</v>
      </c>
      <c r="B104" s="66" t="s">
        <v>444</v>
      </c>
      <c r="C104" s="63" t="s">
        <v>445</v>
      </c>
      <c r="D104" s="66" t="s">
        <v>55</v>
      </c>
      <c r="E104" s="50" t="str">
        <f t="shared" si="2"/>
        <v>Гасанов Ислам Магеррамович;6-17Р142 /2017;785047;№6</v>
      </c>
      <c r="F104" s="50" t="b">
        <f t="shared" si="3"/>
        <v>1</v>
      </c>
      <c r="G104" s="50">
        <f>IF($F104,COUNTIF($F$1:$F104,TRUE),"")</f>
        <v>104</v>
      </c>
      <c r="H104" s="50" t="str">
        <f>IFERROR(INDEX(NameStudent,MATCH(ROWS($H$1:$H104),Index,0)),"")</f>
        <v>Гасанов Ислам Магеррамович;6-17Р142 /2017;785047;№6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814864</v>
      </c>
      <c r="B105" s="66" t="s">
        <v>638</v>
      </c>
      <c r="C105" s="63" t="s">
        <v>639</v>
      </c>
      <c r="D105" s="66" t="s">
        <v>55</v>
      </c>
      <c r="E105" s="50" t="str">
        <f t="shared" si="2"/>
        <v>Гершбаум Сергей Дмитриевич;6-18Р083/2018;814864;№6</v>
      </c>
      <c r="F105" s="50" t="b">
        <f t="shared" si="3"/>
        <v>1</v>
      </c>
      <c r="G105" s="50">
        <f>IF($F105,COUNTIF($F$1:$F105,TRUE),"")</f>
        <v>105</v>
      </c>
      <c r="H105" s="50" t="str">
        <f>IFERROR(INDEX(NameStudent,MATCH(ROWS($H$1:$H105),Index,0)),"")</f>
        <v>Гершбаум Сергей Дмитриевич;6-18Р083/2018;814864;№6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825050</v>
      </c>
      <c r="B106" s="55" t="s">
        <v>945</v>
      </c>
      <c r="C106" s="58" t="s">
        <v>946</v>
      </c>
      <c r="D106" s="55" t="s">
        <v>55</v>
      </c>
      <c r="E106" s="50" t="str">
        <f t="shared" si="2"/>
        <v>Гетман Дарья Александровна;6-14Ю066 /2018;825050;№6</v>
      </c>
      <c r="F106" s="50" t="b">
        <f t="shared" si="3"/>
        <v>1</v>
      </c>
      <c r="G106" s="50">
        <f>IF($F106,COUNTIF($F$1:$F106,TRUE),"")</f>
        <v>106</v>
      </c>
      <c r="H106" s="50" t="str">
        <f>IFERROR(INDEX(NameStudent,MATCH(ROWS($H$1:$H106),Index,0)),"")</f>
        <v>Гетман Дарья Александровна;6-14Ю066 /2018;825050;№6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784846</v>
      </c>
      <c r="B107" s="66" t="s">
        <v>360</v>
      </c>
      <c r="C107" s="63" t="s">
        <v>361</v>
      </c>
      <c r="D107" s="66" t="s">
        <v>55</v>
      </c>
      <c r="E107" s="50" t="str">
        <f t="shared" si="2"/>
        <v>Гибадуллин Ришат Рамисович;6-17Р075 /2017;784846;№6</v>
      </c>
      <c r="F107" s="50" t="b">
        <f t="shared" si="3"/>
        <v>1</v>
      </c>
      <c r="G107" s="50">
        <f>IF($F107,COUNTIF($F$1:$F107,TRUE),"")</f>
        <v>107</v>
      </c>
      <c r="H107" s="50" t="str">
        <f>IFERROR(INDEX(NameStudent,MATCH(ROWS($H$1:$H107),Index,0)),"")</f>
        <v>Гибадуллин Ришат Рамисович;6-17Р075 /2017;784846;№6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814872</v>
      </c>
      <c r="B108" s="66" t="s">
        <v>640</v>
      </c>
      <c r="C108" s="63" t="s">
        <v>641</v>
      </c>
      <c r="D108" s="66" t="s">
        <v>55</v>
      </c>
      <c r="E108" s="50" t="str">
        <f t="shared" si="2"/>
        <v>Гилязов Раиль Рустамович;6-18Р084/2018;814872;№6</v>
      </c>
      <c r="F108" s="50" t="b">
        <f t="shared" si="3"/>
        <v>1</v>
      </c>
      <c r="G108" s="50">
        <f>IF($F108,COUNTIF($F$1:$F108,TRUE),"")</f>
        <v>108</v>
      </c>
      <c r="H108" s="50" t="str">
        <f>IFERROR(INDEX(NameStudent,MATCH(ROWS($H$1:$H108),Index,0)),"")</f>
        <v>Гилязов Раиль Рустамович;6-18Р084/2018;814872;№6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814879</v>
      </c>
      <c r="B109" s="66" t="s">
        <v>642</v>
      </c>
      <c r="C109" s="63" t="s">
        <v>643</v>
      </c>
      <c r="D109" s="66" t="s">
        <v>55</v>
      </c>
      <c r="E109" s="50" t="str">
        <f t="shared" si="2"/>
        <v>Гиниатов Ирек Анверович;6-18Р137/2018;814879;№6</v>
      </c>
      <c r="F109" s="50" t="b">
        <f t="shared" si="3"/>
        <v>1</v>
      </c>
      <c r="G109" s="50">
        <f>IF($F109,COUNTIF($F$1:$F109,TRUE),"")</f>
        <v>109</v>
      </c>
      <c r="H109" s="50" t="str">
        <f>IFERROR(INDEX(NameStudent,MATCH(ROWS($H$1:$H109),Index,0)),"")</f>
        <v>Гиниатов Ирек Анверович;6-18Р137/2018;814879;№6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142666</v>
      </c>
      <c r="B110" s="66" t="s">
        <v>222</v>
      </c>
      <c r="C110" s="63" t="s">
        <v>223</v>
      </c>
      <c r="D110" s="66" t="s">
        <v>55</v>
      </c>
      <c r="E110" s="50" t="str">
        <f t="shared" si="2"/>
        <v>Глухов Антон Витальевич;6-16Р083 /2016;142666;№6</v>
      </c>
      <c r="F110" s="50" t="b">
        <f t="shared" si="3"/>
        <v>1</v>
      </c>
      <c r="G110" s="50">
        <f>IF($F110,COUNTIF($F$1:$F110,TRUE),"")</f>
        <v>110</v>
      </c>
      <c r="H110" s="50" t="str">
        <f>IFERROR(INDEX(NameStudent,MATCH(ROWS($H$1:$H110),Index,0)),"")</f>
        <v>Глухов Антон Витальевич;6-16Р083 /2016;142666;№6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65">
        <v>815245</v>
      </c>
      <c r="B111" s="66" t="s">
        <v>987</v>
      </c>
      <c r="C111" s="63" t="s">
        <v>988</v>
      </c>
      <c r="D111" s="66" t="s">
        <v>55</v>
      </c>
      <c r="E111" s="50" t="str">
        <f t="shared" si="2"/>
        <v>Глушков Артем Викторович;6-18Р213/18;815245;№6</v>
      </c>
      <c r="F111" s="50" t="b">
        <f t="shared" si="3"/>
        <v>1</v>
      </c>
      <c r="G111" s="50">
        <f>IF($F111,COUNTIF($F$1:$F111,TRUE),"")</f>
        <v>111</v>
      </c>
      <c r="H111" s="50" t="str">
        <f>IFERROR(INDEX(NameStudent,MATCH(ROWS($H$1:$H111),Index,0)),"")</f>
        <v>Глушков Артем Викторович;6-18Р213/18;815245;№6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825419</v>
      </c>
      <c r="B112" s="55" t="s">
        <v>947</v>
      </c>
      <c r="C112" s="58" t="s">
        <v>948</v>
      </c>
      <c r="D112" s="55" t="s">
        <v>55</v>
      </c>
      <c r="E112" s="50" t="str">
        <f t="shared" si="2"/>
        <v>Головин Артем Александрович;6-17М276/2018;825419;№6</v>
      </c>
      <c r="F112" s="50" t="b">
        <f t="shared" si="3"/>
        <v>1</v>
      </c>
      <c r="G112" s="50">
        <f>IF($F112,COUNTIF($F$1:$F112,TRUE),"")</f>
        <v>112</v>
      </c>
      <c r="H112" s="50" t="str">
        <f>IFERROR(INDEX(NameStudent,MATCH(ROWS($H$1:$H112),Index,0)),"")</f>
        <v>Головин Артем Александрович;6-17М276/2018;825419;№6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127694</v>
      </c>
      <c r="B113" s="66" t="s">
        <v>86</v>
      </c>
      <c r="C113" s="63" t="s">
        <v>87</v>
      </c>
      <c r="D113" s="66" t="s">
        <v>55</v>
      </c>
      <c r="E113" s="50" t="str">
        <f t="shared" si="2"/>
        <v>Головко Антон Павлович;6-15Р105 /2015;127694;№6</v>
      </c>
      <c r="F113" s="50" t="b">
        <f t="shared" si="3"/>
        <v>1</v>
      </c>
      <c r="G113" s="50">
        <f>IF($F113,COUNTIF($F$1:$F113,TRUE),"")</f>
        <v>113</v>
      </c>
      <c r="H113" s="50" t="str">
        <f>IFERROR(INDEX(NameStudent,MATCH(ROWS($H$1:$H113),Index,0)),"")</f>
        <v>Головко Антон Павлович;6-15Р105 /2015;127694;№6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127695</v>
      </c>
      <c r="B114" s="66" t="s">
        <v>88</v>
      </c>
      <c r="C114" s="63" t="s">
        <v>89</v>
      </c>
      <c r="D114" s="66" t="s">
        <v>55</v>
      </c>
      <c r="E114" s="50" t="str">
        <f t="shared" si="2"/>
        <v>Голышкин Иван Юрьевич;6-15Р106 /2015;127695;№6</v>
      </c>
      <c r="F114" s="50" t="b">
        <f t="shared" si="3"/>
        <v>1</v>
      </c>
      <c r="G114" s="50">
        <f>IF($F114,COUNTIF($F$1:$F114,TRUE),"")</f>
        <v>114</v>
      </c>
      <c r="H114" s="50" t="str">
        <f>IFERROR(INDEX(NameStudent,MATCH(ROWS($H$1:$H114),Index,0)),"")</f>
        <v>Голышкин Иван Юрьевич;6-15Р106 /2015;127695;№6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785048</v>
      </c>
      <c r="B115" s="66" t="s">
        <v>446</v>
      </c>
      <c r="C115" s="63" t="s">
        <v>447</v>
      </c>
      <c r="D115" s="66" t="s">
        <v>55</v>
      </c>
      <c r="E115" s="50" t="str">
        <f t="shared" si="2"/>
        <v>Гольцов Илья Сергеевич;6-17Р179 /2017;785048;№6</v>
      </c>
      <c r="F115" s="50" t="b">
        <f t="shared" si="3"/>
        <v>1</v>
      </c>
      <c r="G115" s="50">
        <f>IF($F115,COUNTIF($F$1:$F115,TRUE),"")</f>
        <v>115</v>
      </c>
      <c r="H115" s="50" t="str">
        <f>IFERROR(INDEX(NameStudent,MATCH(ROWS($H$1:$H115),Index,0)),"")</f>
        <v>Гольцов Илья Сергеевич;6-17Р179 /2017;785048;№6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814885</v>
      </c>
      <c r="B116" s="66" t="s">
        <v>644</v>
      </c>
      <c r="C116" s="63" t="s">
        <v>645</v>
      </c>
      <c r="D116" s="66" t="s">
        <v>55</v>
      </c>
      <c r="E116" s="50" t="str">
        <f t="shared" si="2"/>
        <v>Горожанкин Никита Сергеевич;6-18Р158/2018;814885;№6</v>
      </c>
      <c r="F116" s="50" t="b">
        <f t="shared" si="3"/>
        <v>1</v>
      </c>
      <c r="G116" s="50">
        <f>IF($F116,COUNTIF($F$1:$F116,TRUE),"")</f>
        <v>116</v>
      </c>
      <c r="H116" s="50" t="str">
        <f>IFERROR(INDEX(NameStudent,MATCH(ROWS($H$1:$H116),Index,0)),"")</f>
        <v>Горожанкин Никита Сергеевич;6-18Р158/2018;814885;№6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65">
        <v>815213</v>
      </c>
      <c r="B117" s="66" t="s">
        <v>983</v>
      </c>
      <c r="C117" s="63" t="s">
        <v>984</v>
      </c>
      <c r="D117" s="66" t="s">
        <v>55</v>
      </c>
      <c r="E117" s="50" t="str">
        <f t="shared" si="2"/>
        <v>Грачёва Элеонора Юрьевна;6-18Р274/18;815213;№6</v>
      </c>
      <c r="F117" s="50" t="b">
        <f t="shared" si="3"/>
        <v>1</v>
      </c>
      <c r="G117" s="50">
        <f>IF($F117,COUNTIF($F$1:$F117,TRUE),"")</f>
        <v>117</v>
      </c>
      <c r="H117" s="50" t="str">
        <f>IFERROR(INDEX(NameStudent,MATCH(ROWS($H$1:$H117),Index,0)),"")</f>
        <v>Грачёва Элеонора Юрьевна;6-18Р274/18;815213;№6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55">
        <v>816847</v>
      </c>
      <c r="B118" s="55" t="s">
        <v>851</v>
      </c>
      <c r="C118" s="58" t="s">
        <v>852</v>
      </c>
      <c r="D118" s="55" t="s">
        <v>55</v>
      </c>
      <c r="E118" s="50" t="str">
        <f t="shared" si="2"/>
        <v>Гришанов Федор Владимирович;6-15Р019/2018;816847;№6</v>
      </c>
      <c r="F118" s="50" t="b">
        <f t="shared" si="3"/>
        <v>1</v>
      </c>
      <c r="G118" s="50">
        <f>IF($F118,COUNTIF($F$1:$F118,TRUE),"")</f>
        <v>118</v>
      </c>
      <c r="H118" s="50" t="str">
        <f>IFERROR(INDEX(NameStudent,MATCH(ROWS($H$1:$H118),Index,0)),"")</f>
        <v>Гришанов Федор Владимирович;6-15Р019/2018;816847;№6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816849</v>
      </c>
      <c r="B119" s="55" t="s">
        <v>853</v>
      </c>
      <c r="C119" s="58" t="s">
        <v>854</v>
      </c>
      <c r="D119" s="55" t="s">
        <v>55</v>
      </c>
      <c r="E119" s="50" t="str">
        <f t="shared" si="2"/>
        <v>Гурин Владислав Игоревич;6-18ММ040/2018;816849;№6</v>
      </c>
      <c r="F119" s="50" t="b">
        <f t="shared" si="3"/>
        <v>1</v>
      </c>
      <c r="G119" s="50">
        <f>IF($F119,COUNTIF($F$1:$F119,TRUE),"")</f>
        <v>119</v>
      </c>
      <c r="H119" s="50" t="str">
        <f>IFERROR(INDEX(NameStudent,MATCH(ROWS($H$1:$H119),Index,0)),"")</f>
        <v>Гурин Владислав Игоревич;6-18ММ040/2018;816849;№6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814890</v>
      </c>
      <c r="B120" s="66" t="s">
        <v>646</v>
      </c>
      <c r="C120" s="63" t="s">
        <v>647</v>
      </c>
      <c r="D120" s="66" t="s">
        <v>55</v>
      </c>
      <c r="E120" s="50" t="str">
        <f t="shared" si="2"/>
        <v>Гусев Кирилл Александрович;6-18М056/2018;814890;№6</v>
      </c>
      <c r="F120" s="50" t="b">
        <f t="shared" si="3"/>
        <v>1</v>
      </c>
      <c r="G120" s="50">
        <f>IF($F120,COUNTIF($F$1:$F120,TRUE),"")</f>
        <v>120</v>
      </c>
      <c r="H120" s="50" t="str">
        <f>IFERROR(INDEX(NameStudent,MATCH(ROWS($H$1:$H120),Index,0)),"")</f>
        <v>Гусев Кирилл Александрович;6-18М056/2018;814890;№6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785398</v>
      </c>
      <c r="B121" s="66" t="s">
        <v>502</v>
      </c>
      <c r="C121" s="63" t="s">
        <v>503</v>
      </c>
      <c r="D121" s="66" t="s">
        <v>55</v>
      </c>
      <c r="E121" s="50" t="str">
        <f t="shared" si="2"/>
        <v>Гуцул Наталья Константиновна;6-13А004 /2017;785398;№6</v>
      </c>
      <c r="F121" s="50" t="b">
        <f t="shared" si="3"/>
        <v>1</v>
      </c>
      <c r="G121" s="50">
        <f>IF($F121,COUNTIF($F$1:$F121,TRUE),"")</f>
        <v>121</v>
      </c>
      <c r="H121" s="50" t="str">
        <f>IFERROR(INDEX(NameStudent,MATCH(ROWS($H$1:$H121),Index,0)),"")</f>
        <v>Гуцул Наталья Константиновна;6-13А004 /2017;785398;№6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814897</v>
      </c>
      <c r="B122" s="66" t="s">
        <v>648</v>
      </c>
      <c r="C122" s="63" t="s">
        <v>649</v>
      </c>
      <c r="D122" s="66" t="s">
        <v>55</v>
      </c>
      <c r="E122" s="50" t="str">
        <f t="shared" si="2"/>
        <v>Давыдов Дмитрий Александрович;6-18Р138/2018;814897;№6</v>
      </c>
      <c r="F122" s="50" t="b">
        <f t="shared" si="3"/>
        <v>1</v>
      </c>
      <c r="G122" s="50">
        <f>IF($F122,COUNTIF($F$1:$F122,TRUE),"")</f>
        <v>122</v>
      </c>
      <c r="H122" s="50" t="str">
        <f>IFERROR(INDEX(NameStudent,MATCH(ROWS($H$1:$H122),Index,0)),"")</f>
        <v>Давыдов Дмитрий Александрович;6-18Р138/2018;814897;№6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784848</v>
      </c>
      <c r="B123" s="66" t="s">
        <v>362</v>
      </c>
      <c r="C123" s="63" t="s">
        <v>363</v>
      </c>
      <c r="D123" s="66" t="s">
        <v>55</v>
      </c>
      <c r="E123" s="50" t="str">
        <f t="shared" si="2"/>
        <v>Давыдова Екатерина Александровна;6-17Р076 /2017;784848;№6</v>
      </c>
      <c r="F123" s="50" t="b">
        <f t="shared" si="3"/>
        <v>1</v>
      </c>
      <c r="G123" s="50">
        <f>IF($F123,COUNTIF($F$1:$F123,TRUE),"")</f>
        <v>123</v>
      </c>
      <c r="H123" s="50" t="str">
        <f>IFERROR(INDEX(NameStudent,MATCH(ROWS($H$1:$H123),Index,0)),"")</f>
        <v>Давыдова Екатерина Александровна;6-17Р076 /2017;784848;№6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55">
        <v>817740</v>
      </c>
      <c r="B124" s="55" t="s">
        <v>879</v>
      </c>
      <c r="C124" s="58" t="s">
        <v>880</v>
      </c>
      <c r="D124" s="55" t="s">
        <v>55</v>
      </c>
      <c r="E124" s="50" t="str">
        <f t="shared" si="2"/>
        <v>Дегтяренко Николай Владимирович;6-18ММ045/2018;817740;№6</v>
      </c>
      <c r="F124" s="50" t="b">
        <f t="shared" si="3"/>
        <v>1</v>
      </c>
      <c r="G124" s="50">
        <f>IF($F124,COUNTIF($F$1:$F124,TRUE),"")</f>
        <v>124</v>
      </c>
      <c r="H124" s="50" t="str">
        <f>IFERROR(INDEX(NameStudent,MATCH(ROWS($H$1:$H124),Index,0)),"")</f>
        <v>Дегтяренко Николай Владимирович;6-18ММ045/2018;817740;№6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65">
        <v>127704</v>
      </c>
      <c r="B125" s="66" t="s">
        <v>90</v>
      </c>
      <c r="C125" s="63" t="s">
        <v>91</v>
      </c>
      <c r="D125" s="66" t="s">
        <v>55</v>
      </c>
      <c r="E125" s="50" t="str">
        <f t="shared" si="2"/>
        <v>Деева Маргарита Андреевна;6-15Р108 /2015;127704;№6</v>
      </c>
      <c r="F125" s="50" t="b">
        <f t="shared" si="3"/>
        <v>1</v>
      </c>
      <c r="G125" s="50">
        <f>IF($F125,COUNTIF($F$1:$F125,TRUE),"")</f>
        <v>125</v>
      </c>
      <c r="H125" s="50" t="str">
        <f>IFERROR(INDEX(NameStudent,MATCH(ROWS($H$1:$H125),Index,0)),"")</f>
        <v>Деева Маргарита Андреевна;6-15Р108 /2015;127704;№6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55">
        <v>817742</v>
      </c>
      <c r="B126" s="55" t="s">
        <v>881</v>
      </c>
      <c r="C126" s="58" t="s">
        <v>882</v>
      </c>
      <c r="D126" s="55" t="s">
        <v>55</v>
      </c>
      <c r="E126" s="50" t="str">
        <f t="shared" si="2"/>
        <v>Джунушалиев Эльдар Эркинбаевич;6-18ММ046/2018;817742;№6</v>
      </c>
      <c r="F126" s="50" t="b">
        <f t="shared" si="3"/>
        <v>1</v>
      </c>
      <c r="G126" s="50">
        <f>IF($F126,COUNTIF($F$1:$F126,TRUE),"")</f>
        <v>126</v>
      </c>
      <c r="H126" s="50" t="str">
        <f>IFERROR(INDEX(NameStudent,MATCH(ROWS($H$1:$H126),Index,0)),"")</f>
        <v>Джунушалиев Эльдар Эркинбаевич;6-18ММ046/2018;817742;№6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814786</v>
      </c>
      <c r="B127" s="66" t="s">
        <v>981</v>
      </c>
      <c r="C127" s="63" t="s">
        <v>982</v>
      </c>
      <c r="D127" s="66" t="s">
        <v>55</v>
      </c>
      <c r="E127" s="50" t="str">
        <f t="shared" si="2"/>
        <v>Дидаев Арби Люмаевич;6-18Р217/18;814786;№6</v>
      </c>
      <c r="F127" s="50" t="b">
        <f t="shared" si="3"/>
        <v>1</v>
      </c>
      <c r="G127" s="50">
        <f>IF($F127,COUNTIF($F$1:$F127,TRUE),"")</f>
        <v>127</v>
      </c>
      <c r="H127" s="50" t="str">
        <f>IFERROR(INDEX(NameStudent,MATCH(ROWS($H$1:$H127),Index,0)),"")</f>
        <v>Дидаев Арби Люмаевич;6-18Р217/18;814786;№6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820454</v>
      </c>
      <c r="B128" s="66" t="s">
        <v>1133</v>
      </c>
      <c r="C128" s="63" t="s">
        <v>1134</v>
      </c>
      <c r="D128" s="66" t="s">
        <v>55</v>
      </c>
      <c r="E128" s="50" t="str">
        <f t="shared" si="2"/>
        <v>Диеу Зыонг ;6-18ИМ14/2018;820454;№6</v>
      </c>
      <c r="F128" s="50" t="b">
        <f t="shared" si="3"/>
        <v>1</v>
      </c>
      <c r="G128" s="50">
        <f>IF($F128,COUNTIF($F$1:$F128,TRUE),"")</f>
        <v>128</v>
      </c>
      <c r="H128" s="50" t="str">
        <f>IFERROR(INDEX(NameStudent,MATCH(ROWS($H$1:$H128),Index,0)),"")</f>
        <v>Диеу Зыонг ;6-18ИМ14/2018;820454;№6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785050</v>
      </c>
      <c r="B129" s="66" t="s">
        <v>448</v>
      </c>
      <c r="C129" s="63" t="s">
        <v>449</v>
      </c>
      <c r="D129" s="66" t="s">
        <v>55</v>
      </c>
      <c r="E129" s="50" t="str">
        <f t="shared" ref="E129:E192" si="4">LEFT(C129,IF(ISERROR(FIND(":",C129))=TRUE,LEN(C129),FIND(":",C129)-1)) &amp; ";" &amp; B129 &amp; ";" &amp; A129 &amp; ";" &amp;D129</f>
        <v>Дмитриев Андрей Сергеевич;6-17Р078 /2017;785050;№6</v>
      </c>
      <c r="F129" s="50" t="b">
        <f t="shared" ref="F129:F192" si="5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Дмитриев Андрей Сергеевич;6-17Р078 /2017;785050;№6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789692</v>
      </c>
      <c r="B130" s="66" t="s">
        <v>572</v>
      </c>
      <c r="C130" s="63" t="s">
        <v>573</v>
      </c>
      <c r="D130" s="66" t="s">
        <v>55</v>
      </c>
      <c r="E130" s="50" t="str">
        <f t="shared" si="4"/>
        <v>Дмитриев Захар Эдуардович;6-17РМ081 /2017;789692;№6</v>
      </c>
      <c r="F130" s="50" t="b">
        <f t="shared" si="5"/>
        <v>1</v>
      </c>
      <c r="G130" s="50">
        <f>IF($F130,COUNTIF($F$1:$F130,TRUE),"")</f>
        <v>130</v>
      </c>
      <c r="H130" s="50" t="str">
        <f>IFERROR(INDEX(NameStudent,MATCH(ROWS($H$1:$H130),Index,0)),"")</f>
        <v>Дмитриев Захар Эдуардович;6-17РМ081 /2017;789692;№6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127706</v>
      </c>
      <c r="B131" s="66" t="s">
        <v>92</v>
      </c>
      <c r="C131" s="63" t="s">
        <v>93</v>
      </c>
      <c r="D131" s="66" t="s">
        <v>55</v>
      </c>
      <c r="E131" s="50" t="str">
        <f t="shared" si="4"/>
        <v>Добровольский Александр Вячеславович;6-15Р179 /2015;127706;№6</v>
      </c>
      <c r="F131" s="50" t="b">
        <f t="shared" si="5"/>
        <v>1</v>
      </c>
      <c r="G131" s="50">
        <f>IF($F131,COUNTIF($F$1:$F131,TRUE),"")</f>
        <v>131</v>
      </c>
      <c r="H131" s="50" t="str">
        <f>IFERROR(INDEX(NameStudent,MATCH(ROWS($H$1:$H131),Index,0)),"")</f>
        <v>Добровольский Александр Вячеславович;6-15Р179 /2015;127706;№6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142733</v>
      </c>
      <c r="B132" s="66" t="s">
        <v>228</v>
      </c>
      <c r="C132" s="63" t="s">
        <v>229</v>
      </c>
      <c r="D132" s="66" t="s">
        <v>55</v>
      </c>
      <c r="E132" s="50" t="str">
        <f t="shared" si="4"/>
        <v>Доржиева Екатерина Матвеевна;6-16Р145 /2016;142733;№6</v>
      </c>
      <c r="F132" s="50" t="b">
        <f t="shared" si="5"/>
        <v>1</v>
      </c>
      <c r="G132" s="50">
        <f>IF($F132,COUNTIF($F$1:$F132,TRUE),"")</f>
        <v>132</v>
      </c>
      <c r="H132" s="50" t="str">
        <f>IFERROR(INDEX(NameStudent,MATCH(ROWS($H$1:$H132),Index,0)),"")</f>
        <v>Доржиева Екатерина Матвеевна;6-16Р145 /2016;142733;№6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55">
        <v>816807</v>
      </c>
      <c r="B133" s="55" t="s">
        <v>823</v>
      </c>
      <c r="C133" s="58" t="s">
        <v>824</v>
      </c>
      <c r="D133" s="55" t="s">
        <v>55</v>
      </c>
      <c r="E133" s="50" t="str">
        <f t="shared" si="4"/>
        <v>Дорохов Владимир Владимирович;6-18Р189/2018;816807;№6</v>
      </c>
      <c r="F133" s="50" t="b">
        <f t="shared" si="5"/>
        <v>1</v>
      </c>
      <c r="G133" s="50">
        <f>IF($F133,COUNTIF($F$1:$F133,TRUE),"")</f>
        <v>133</v>
      </c>
      <c r="H133" s="50" t="str">
        <f>IFERROR(INDEX(NameStudent,MATCH(ROWS($H$1:$H133),Index,0)),"")</f>
        <v>Дорохов Владимир Владимирович;6-18Р189/2018;816807;№6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142732</v>
      </c>
      <c r="B134" s="66" t="s">
        <v>226</v>
      </c>
      <c r="C134" s="63" t="s">
        <v>227</v>
      </c>
      <c r="D134" s="66" t="s">
        <v>55</v>
      </c>
      <c r="E134" s="50" t="str">
        <f t="shared" si="4"/>
        <v>Досюк Александр Александрович;6-16Р106 /2016;142732;№6</v>
      </c>
      <c r="F134" s="50" t="b">
        <f t="shared" si="5"/>
        <v>1</v>
      </c>
      <c r="G134" s="50">
        <f>IF($F134,COUNTIF($F$1:$F134,TRUE),"")</f>
        <v>134</v>
      </c>
      <c r="H134" s="50" t="str">
        <f>IFERROR(INDEX(NameStudent,MATCH(ROWS($H$1:$H134),Index,0)),"")</f>
        <v>Досюк Александр Александрович;6-16Р106 /2016;142732;№6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142729</v>
      </c>
      <c r="B135" s="66" t="s">
        <v>224</v>
      </c>
      <c r="C135" s="63" t="s">
        <v>225</v>
      </c>
      <c r="D135" s="66" t="s">
        <v>55</v>
      </c>
      <c r="E135" s="50" t="str">
        <f t="shared" si="4"/>
        <v>Дрожжин Владимир Романович;6-15Р238 /2016;142729;№6</v>
      </c>
      <c r="F135" s="50" t="b">
        <f t="shared" si="5"/>
        <v>1</v>
      </c>
      <c r="G135" s="50">
        <f>IF($F135,COUNTIF($F$1:$F135,TRUE),"")</f>
        <v>135</v>
      </c>
      <c r="H135" s="50" t="str">
        <f>IFERROR(INDEX(NameStudent,MATCH(ROWS($H$1:$H135),Index,0)),"")</f>
        <v>Дрожжин Владимир Романович;6-15Р238 /2016;142729;№6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65">
        <v>816749</v>
      </c>
      <c r="B136" s="66" t="s">
        <v>1071</v>
      </c>
      <c r="C136" s="63" t="s">
        <v>1072</v>
      </c>
      <c r="D136" s="66" t="s">
        <v>55</v>
      </c>
      <c r="E136" s="50" t="str">
        <f t="shared" si="4"/>
        <v>Другов Дмитрий Владимирович;6-16Ю117/2018;816749;№6</v>
      </c>
      <c r="F136" s="50" t="b">
        <f t="shared" si="5"/>
        <v>1</v>
      </c>
      <c r="G136" s="50">
        <f>IF($F136,COUNTIF($F$1:$F136,TRUE),"")</f>
        <v>136</v>
      </c>
      <c r="H136" s="50" t="str">
        <f>IFERROR(INDEX(NameStudent,MATCH(ROWS($H$1:$H136),Index,0)),"")</f>
        <v>Другов Дмитрий Владимирович;6-16Ю117/2018;816749;№6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820346</v>
      </c>
      <c r="B137" s="66" t="s">
        <v>1119</v>
      </c>
      <c r="C137" s="63" t="s">
        <v>1120</v>
      </c>
      <c r="D137" s="66" t="s">
        <v>55</v>
      </c>
      <c r="E137" s="50" t="str">
        <f t="shared" si="4"/>
        <v>Дун Ицюнь ;6-16ИР03/2018;820346;№6</v>
      </c>
      <c r="F137" s="50" t="b">
        <f t="shared" si="5"/>
        <v>1</v>
      </c>
      <c r="G137" s="50">
        <f>IF($F137,COUNTIF($F$1:$F137,TRUE),"")</f>
        <v>137</v>
      </c>
      <c r="H137" s="50" t="str">
        <f>IFERROR(INDEX(NameStudent,MATCH(ROWS($H$1:$H137),Index,0)),"")</f>
        <v>Дун Ицюнь ;6-16ИР03/2018;820346;№6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142766</v>
      </c>
      <c r="B138" s="66" t="s">
        <v>236</v>
      </c>
      <c r="C138" s="63" t="s">
        <v>237</v>
      </c>
      <c r="D138" s="66" t="s">
        <v>55</v>
      </c>
      <c r="E138" s="50" t="str">
        <f t="shared" si="4"/>
        <v>Евстратов Дмитрий Алексеевич;6-16Р146 /2016;142766;№6</v>
      </c>
      <c r="F138" s="50" t="b">
        <f t="shared" si="5"/>
        <v>1</v>
      </c>
      <c r="G138" s="50">
        <f>IF($F138,COUNTIF($F$1:$F138,TRUE),"")</f>
        <v>138</v>
      </c>
      <c r="H138" s="50" t="str">
        <f>IFERROR(INDEX(NameStudent,MATCH(ROWS($H$1:$H138),Index,0)),"")</f>
        <v>Евстратов Дмитрий Алексеевич;6-16Р146 /2016;142766;№6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814912</v>
      </c>
      <c r="B139" s="66" t="s">
        <v>650</v>
      </c>
      <c r="C139" s="63" t="s">
        <v>651</v>
      </c>
      <c r="D139" s="66" t="s">
        <v>55</v>
      </c>
      <c r="E139" s="50" t="str">
        <f t="shared" si="4"/>
        <v>Егоров Глеб Ростиславович;6-18Р015/2018;814912;№6</v>
      </c>
      <c r="F139" s="50" t="b">
        <f t="shared" si="5"/>
        <v>1</v>
      </c>
      <c r="G139" s="50">
        <f>IF($F139,COUNTIF($F$1:$F139,TRUE),"")</f>
        <v>139</v>
      </c>
      <c r="H139" s="50" t="str">
        <f>IFERROR(INDEX(NameStudent,MATCH(ROWS($H$1:$H139),Index,0)),"")</f>
        <v>Егоров Глеб Ростиславович;6-18Р015/2018;814912;№6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142757</v>
      </c>
      <c r="B140" s="66" t="s">
        <v>230</v>
      </c>
      <c r="C140" s="63" t="s">
        <v>231</v>
      </c>
      <c r="D140" s="66" t="s">
        <v>55</v>
      </c>
      <c r="E140" s="50" t="str">
        <f t="shared" si="4"/>
        <v>Егоров Дмитрий Сергеевич;6-16Р005 /2016;142757;№6</v>
      </c>
      <c r="F140" s="50" t="b">
        <f t="shared" si="5"/>
        <v>1</v>
      </c>
      <c r="G140" s="50">
        <f>IF($F140,COUNTIF($F$1:$F140,TRUE),"")</f>
        <v>140</v>
      </c>
      <c r="H140" s="50" t="str">
        <f>IFERROR(INDEX(NameStudent,MATCH(ROWS($H$1:$H140),Index,0)),"")</f>
        <v>Егоров Дмитрий Сергеевич;6-16Р005 /2016;142757;№6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788621</v>
      </c>
      <c r="B141" s="66" t="s">
        <v>570</v>
      </c>
      <c r="C141" s="63" t="s">
        <v>571</v>
      </c>
      <c r="D141" s="66" t="s">
        <v>55</v>
      </c>
      <c r="E141" s="50" t="str">
        <f t="shared" si="4"/>
        <v>Егоров Михаил Игоревич;6-14Р062 /2017;788621;№6</v>
      </c>
      <c r="F141" s="50" t="b">
        <f t="shared" si="5"/>
        <v>1</v>
      </c>
      <c r="G141" s="50">
        <f>IF($F141,COUNTIF($F$1:$F141,TRUE),"")</f>
        <v>141</v>
      </c>
      <c r="H141" s="50" t="str">
        <f>IFERROR(INDEX(NameStudent,MATCH(ROWS($H$1:$H141),Index,0)),"")</f>
        <v>Егоров Михаил Игоревич;6-14Р062 /2017;788621;№6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142764</v>
      </c>
      <c r="B142" s="66" t="s">
        <v>232</v>
      </c>
      <c r="C142" s="63" t="s">
        <v>233</v>
      </c>
      <c r="D142" s="66" t="s">
        <v>55</v>
      </c>
      <c r="E142" s="50" t="str">
        <f t="shared" si="4"/>
        <v>Егупов Иван Евгеньевич;6-16Р107 /2016;142764;№6</v>
      </c>
      <c r="F142" s="50" t="b">
        <f t="shared" si="5"/>
        <v>1</v>
      </c>
      <c r="G142" s="50">
        <f>IF($F142,COUNTIF($F$1:$F142,TRUE),"")</f>
        <v>142</v>
      </c>
      <c r="H142" s="50" t="str">
        <f>IFERROR(INDEX(NameStudent,MATCH(ROWS($H$1:$H142),Index,0)),"")</f>
        <v>Егупов Иван Евгеньевич;6-16Р107 /2016;142764;№6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65">
        <v>127708</v>
      </c>
      <c r="B143" s="66" t="s">
        <v>94</v>
      </c>
      <c r="C143" s="63" t="s">
        <v>95</v>
      </c>
      <c r="D143" s="66" t="s">
        <v>55</v>
      </c>
      <c r="E143" s="50" t="str">
        <f t="shared" si="4"/>
        <v>Елизов Глеб Игоревич;6-15Р027 /2015;127708;№6</v>
      </c>
      <c r="F143" s="50" t="b">
        <f t="shared" si="5"/>
        <v>1</v>
      </c>
      <c r="G143" s="50">
        <f>IF($F143,COUNTIF($F$1:$F143,TRUE),"")</f>
        <v>143</v>
      </c>
      <c r="H143" s="50" t="str">
        <f>IFERROR(INDEX(NameStudent,MATCH(ROWS($H$1:$H143),Index,0)),"")</f>
        <v>Елизов Глеб Игоревич;6-15Р027 /2015;127708;№6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55">
        <v>830945</v>
      </c>
      <c r="B144" s="55" t="s">
        <v>974</v>
      </c>
      <c r="C144" s="58" t="s">
        <v>95</v>
      </c>
      <c r="D144" s="55" t="s">
        <v>55</v>
      </c>
      <c r="E144" s="50" t="str">
        <f t="shared" si="4"/>
        <v>Елизов Глеб Игоревич;6-15Р027 /2019;830945;№6</v>
      </c>
      <c r="F144" s="50" t="b">
        <f t="shared" si="5"/>
        <v>1</v>
      </c>
      <c r="G144" s="50">
        <f>IF($F144,COUNTIF($F$1:$F144,TRUE),"")</f>
        <v>144</v>
      </c>
      <c r="H144" s="50" t="str">
        <f>IFERROR(INDEX(NameStudent,MATCH(ROWS($H$1:$H144),Index,0)),"")</f>
        <v>Елизов Глеб Игоревич;6-15Р027 /2019;830945;№6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127711</v>
      </c>
      <c r="B145" s="66" t="s">
        <v>96</v>
      </c>
      <c r="C145" s="63" t="s">
        <v>97</v>
      </c>
      <c r="D145" s="66" t="s">
        <v>55</v>
      </c>
      <c r="E145" s="50" t="str">
        <f t="shared" si="4"/>
        <v>Ерин Дмитрий Владимирович;6-15Р109 /2015;127711;№6</v>
      </c>
      <c r="F145" s="50" t="b">
        <f t="shared" si="5"/>
        <v>1</v>
      </c>
      <c r="G145" s="50">
        <f>IF($F145,COUNTIF($F$1:$F145,TRUE),"")</f>
        <v>145</v>
      </c>
      <c r="H145" s="50" t="str">
        <f>IFERROR(INDEX(NameStudent,MATCH(ROWS($H$1:$H145),Index,0)),"")</f>
        <v>Ерин Дмитрий Владимирович;6-15Р109 /2015;127711;№6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101742</v>
      </c>
      <c r="B146" s="66" t="s">
        <v>58</v>
      </c>
      <c r="C146" s="63" t="s">
        <v>59</v>
      </c>
      <c r="D146" s="66" t="s">
        <v>55</v>
      </c>
      <c r="E146" s="50" t="str">
        <f t="shared" si="4"/>
        <v>Ерин Никита Владимирович;6-13Р155/2013;101742;№6</v>
      </c>
      <c r="F146" s="50" t="b">
        <f t="shared" si="5"/>
        <v>1</v>
      </c>
      <c r="G146" s="50">
        <f>IF($F146,COUNTIF($F$1:$F146,TRUE),"")</f>
        <v>146</v>
      </c>
      <c r="H146" s="50" t="str">
        <f>IFERROR(INDEX(NameStudent,MATCH(ROWS($H$1:$H146),Index,0)),"")</f>
        <v>Ерин Никита Владимирович;6-13Р155/2013;101742;№6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815334</v>
      </c>
      <c r="B147" s="66" t="s">
        <v>989</v>
      </c>
      <c r="C147" s="63" t="s">
        <v>990</v>
      </c>
      <c r="D147" s="66" t="s">
        <v>55</v>
      </c>
      <c r="E147" s="50" t="str">
        <f t="shared" si="4"/>
        <v>Ермоленко Савелий Евгеньевич;6-16Р207/18;815334;№6</v>
      </c>
      <c r="F147" s="50" t="b">
        <f t="shared" si="5"/>
        <v>1</v>
      </c>
      <c r="G147" s="50">
        <f>IF($F147,COUNTIF($F$1:$F147,TRUE),"")</f>
        <v>147</v>
      </c>
      <c r="H147" s="50" t="str">
        <f>IFERROR(INDEX(NameStudent,MATCH(ROWS($H$1:$H147),Index,0)),"")</f>
        <v>Ермоленко Савелий Евгеньевич;6-16Р207/18;815334;№6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820343</v>
      </c>
      <c r="B148" s="66" t="s">
        <v>1117</v>
      </c>
      <c r="C148" s="63" t="s">
        <v>1118</v>
      </c>
      <c r="D148" s="66" t="s">
        <v>55</v>
      </c>
      <c r="E148" s="50" t="str">
        <f t="shared" si="4"/>
        <v>Ертолеу Мади Нурболатулы;6-16М595/2018;820343;№6</v>
      </c>
      <c r="F148" s="50" t="b">
        <f t="shared" si="5"/>
        <v>1</v>
      </c>
      <c r="G148" s="50">
        <f>IF($F148,COUNTIF($F$1:$F148,TRUE),"")</f>
        <v>148</v>
      </c>
      <c r="H148" s="50" t="str">
        <f>IFERROR(INDEX(NameStudent,MATCH(ROWS($H$1:$H148),Index,0)),"")</f>
        <v>Ертолеу Мади Нурболатулы;6-16М595/2018;820343;№6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814915</v>
      </c>
      <c r="B149" s="66" t="s">
        <v>652</v>
      </c>
      <c r="C149" s="63" t="s">
        <v>653</v>
      </c>
      <c r="D149" s="66" t="s">
        <v>55</v>
      </c>
      <c r="E149" s="50" t="str">
        <f t="shared" si="4"/>
        <v>Ершков Алексей Дмитриевич;6-18Р173/2018;814915;№6</v>
      </c>
      <c r="F149" s="50" t="b">
        <f t="shared" si="5"/>
        <v>1</v>
      </c>
      <c r="G149" s="50">
        <f>IF($F149,COUNTIF($F$1:$F149,TRUE),"")</f>
        <v>149</v>
      </c>
      <c r="H149" s="50" t="str">
        <f>IFERROR(INDEX(NameStudent,MATCH(ROWS($H$1:$H149),Index,0)),"")</f>
        <v>Ершков Алексей Дмитриевич;6-18Р173/2018;814915;№6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785051</v>
      </c>
      <c r="B150" s="66" t="s">
        <v>450</v>
      </c>
      <c r="C150" s="63" t="s">
        <v>451</v>
      </c>
      <c r="D150" s="66" t="s">
        <v>55</v>
      </c>
      <c r="E150" s="50" t="str">
        <f t="shared" si="4"/>
        <v>Ефимов Георгий Владимирович;6-17Р181 /2017;785051;№6</v>
      </c>
      <c r="F150" s="50" t="b">
        <f t="shared" si="5"/>
        <v>1</v>
      </c>
      <c r="G150" s="50">
        <f>IF($F150,COUNTIF($F$1:$F150,TRUE),"")</f>
        <v>150</v>
      </c>
      <c r="H150" s="50" t="str">
        <f>IFERROR(INDEX(NameStudent,MATCH(ROWS($H$1:$H150),Index,0)),"")</f>
        <v>Ефимов Георгий Владимирович;6-17Р181 /2017;785051;№6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142765</v>
      </c>
      <c r="B151" s="66" t="s">
        <v>234</v>
      </c>
      <c r="C151" s="63" t="s">
        <v>235</v>
      </c>
      <c r="D151" s="66" t="s">
        <v>55</v>
      </c>
      <c r="E151" s="50" t="str">
        <f t="shared" si="4"/>
        <v>Ефимова Елена Михайловна;6-16Р027 /2016;142765;№6</v>
      </c>
      <c r="F151" s="50" t="b">
        <f t="shared" si="5"/>
        <v>1</v>
      </c>
      <c r="G151" s="50">
        <f>IF($F151,COUNTIF($F$1:$F151,TRUE),"")</f>
        <v>151</v>
      </c>
      <c r="H151" s="50" t="str">
        <f>IFERROR(INDEX(NameStudent,MATCH(ROWS($H$1:$H151),Index,0)),"")</f>
        <v>Ефимова Елена Михайловна;6-16Р027 /2016;142765;№6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55">
        <v>816809</v>
      </c>
      <c r="B152" s="55" t="s">
        <v>825</v>
      </c>
      <c r="C152" s="58" t="s">
        <v>826</v>
      </c>
      <c r="D152" s="55" t="s">
        <v>55</v>
      </c>
      <c r="E152" s="50" t="str">
        <f t="shared" si="4"/>
        <v>Ефимова Елизавета Витальевна;6-18РМ036/2018;816809;№6</v>
      </c>
      <c r="F152" s="50" t="b">
        <f t="shared" si="5"/>
        <v>1</v>
      </c>
      <c r="G152" s="50">
        <f>IF($F152,COUNTIF($F$1:$F152,TRUE),"")</f>
        <v>152</v>
      </c>
      <c r="H152" s="50" t="str">
        <f>IFERROR(INDEX(NameStudent,MATCH(ROWS($H$1:$H152),Index,0)),"")</f>
        <v>Ефимова Елизавета Витальевна;6-18РМ036/2018;816809;№6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65">
        <v>820456</v>
      </c>
      <c r="B153" s="66" t="s">
        <v>1135</v>
      </c>
      <c r="C153" s="63" t="s">
        <v>1136</v>
      </c>
      <c r="D153" s="66" t="s">
        <v>55</v>
      </c>
      <c r="E153" s="50" t="str">
        <f t="shared" si="4"/>
        <v>Жарух Абдулраззак ;6-18ИМ17/2018;820456;№6</v>
      </c>
      <c r="F153" s="50" t="b">
        <f t="shared" si="5"/>
        <v>1</v>
      </c>
      <c r="G153" s="50">
        <f>IF($F153,COUNTIF($F$1:$F153,TRUE),"")</f>
        <v>153</v>
      </c>
      <c r="H153" s="50" t="str">
        <f>IFERROR(INDEX(NameStudent,MATCH(ROWS($H$1:$H153),Index,0)),"")</f>
        <v>Жарух Абдулраззак ;6-18ИМ17/2018;820456;№6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142767</v>
      </c>
      <c r="B154" s="66" t="s">
        <v>238</v>
      </c>
      <c r="C154" s="63" t="s">
        <v>239</v>
      </c>
      <c r="D154" s="66" t="s">
        <v>55</v>
      </c>
      <c r="E154" s="50" t="str">
        <f t="shared" si="4"/>
        <v>Жуков Алексей Владимирович;6-16Р108 /2016;142767;№6</v>
      </c>
      <c r="F154" s="50" t="b">
        <f t="shared" si="5"/>
        <v>1</v>
      </c>
      <c r="G154" s="50">
        <f>IF($F154,COUNTIF($F$1:$F154,TRUE),"")</f>
        <v>154</v>
      </c>
      <c r="H154" s="50" t="str">
        <f>IFERROR(INDEX(NameStudent,MATCH(ROWS($H$1:$H154),Index,0)),"")</f>
        <v>Жуков Алексей Владимирович;6-16Р108 /2016;142767;№6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814917</v>
      </c>
      <c r="B155" s="66" t="s">
        <v>654</v>
      </c>
      <c r="C155" s="63" t="s">
        <v>655</v>
      </c>
      <c r="D155" s="66" t="s">
        <v>55</v>
      </c>
      <c r="E155" s="50" t="str">
        <f t="shared" si="4"/>
        <v>Журавлев Семён Михайлович;6-18Р167/2018;814917;№6</v>
      </c>
      <c r="F155" s="50" t="b">
        <f t="shared" si="5"/>
        <v>1</v>
      </c>
      <c r="G155" s="50">
        <f>IF($F155,COUNTIF($F$1:$F155,TRUE),"")</f>
        <v>155</v>
      </c>
      <c r="H155" s="50" t="str">
        <f>IFERROR(INDEX(NameStudent,MATCH(ROWS($H$1:$H155),Index,0)),"")</f>
        <v>Журавлев Семён Михайлович;6-18Р167/2018;814917;№6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814921</v>
      </c>
      <c r="B156" s="66" t="s">
        <v>656</v>
      </c>
      <c r="C156" s="63" t="s">
        <v>657</v>
      </c>
      <c r="D156" s="66" t="s">
        <v>55</v>
      </c>
      <c r="E156" s="50" t="str">
        <f t="shared" si="4"/>
        <v>Забегаев Юрий Петрович;6-18Р057/2018;814921;№6</v>
      </c>
      <c r="F156" s="50" t="b">
        <f t="shared" si="5"/>
        <v>1</v>
      </c>
      <c r="G156" s="50">
        <f>IF($F156,COUNTIF($F$1:$F156,TRUE),"")</f>
        <v>156</v>
      </c>
      <c r="H156" s="50" t="str">
        <f>IFERROR(INDEX(NameStudent,MATCH(ROWS($H$1:$H156),Index,0)),"")</f>
        <v>Забегаев Юрий Петрович;6-18Р057/2018;814921;№6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785053</v>
      </c>
      <c r="B157" s="66" t="s">
        <v>452</v>
      </c>
      <c r="C157" s="63" t="s">
        <v>453</v>
      </c>
      <c r="D157" s="66" t="s">
        <v>55</v>
      </c>
      <c r="E157" s="50" t="str">
        <f t="shared" si="4"/>
        <v>Задирякина Екатерина Андреевна;6-17Р182 /2017;785053;№6</v>
      </c>
      <c r="F157" s="50" t="b">
        <f t="shared" si="5"/>
        <v>1</v>
      </c>
      <c r="G157" s="50">
        <f>IF($F157,COUNTIF($F$1:$F157,TRUE),"")</f>
        <v>157</v>
      </c>
      <c r="H157" s="50" t="str">
        <f>IFERROR(INDEX(NameStudent,MATCH(ROWS($H$1:$H157),Index,0)),"")</f>
        <v>Задирякина Екатерина Андреевна;6-17Р182 /2017;785053;№6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784849</v>
      </c>
      <c r="B158" s="66" t="s">
        <v>364</v>
      </c>
      <c r="C158" s="63" t="s">
        <v>365</v>
      </c>
      <c r="D158" s="66" t="s">
        <v>55</v>
      </c>
      <c r="E158" s="50" t="str">
        <f t="shared" si="4"/>
        <v>Зазулин Андрей Александрович;6-17Р111 /2017;784849;№6</v>
      </c>
      <c r="F158" s="50" t="b">
        <f t="shared" si="5"/>
        <v>1</v>
      </c>
      <c r="G158" s="50">
        <f>IF($F158,COUNTIF($F$1:$F158,TRUE),"")</f>
        <v>158</v>
      </c>
      <c r="H158" s="50" t="str">
        <f>IFERROR(INDEX(NameStudent,MATCH(ROWS($H$1:$H158),Index,0)),"")</f>
        <v>Зазулин Андрей Александрович;6-17Р111 /2017;784849;№6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814927</v>
      </c>
      <c r="B159" s="66" t="s">
        <v>658</v>
      </c>
      <c r="C159" s="63" t="s">
        <v>659</v>
      </c>
      <c r="D159" s="66" t="s">
        <v>55</v>
      </c>
      <c r="E159" s="50" t="str">
        <f t="shared" si="4"/>
        <v>Зайцев Эдуард Матвеевич;6-18ММ055/2018;814927;№6</v>
      </c>
      <c r="F159" s="50" t="b">
        <f t="shared" si="5"/>
        <v>1</v>
      </c>
      <c r="G159" s="50">
        <f>IF($F159,COUNTIF($F$1:$F159,TRUE),"")</f>
        <v>159</v>
      </c>
      <c r="H159" s="50" t="str">
        <f>IFERROR(INDEX(NameStudent,MATCH(ROWS($H$1:$H159),Index,0)),"")</f>
        <v>Зайцев Эдуард Матвеевич;6-18ММ055/2018;814927;№6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814932</v>
      </c>
      <c r="B160" s="66" t="s">
        <v>660</v>
      </c>
      <c r="C160" s="63" t="s">
        <v>661</v>
      </c>
      <c r="D160" s="66" t="s">
        <v>55</v>
      </c>
      <c r="E160" s="50" t="str">
        <f t="shared" si="4"/>
        <v>Закиров Артур Рустемович;6-18Р087/2018;814932;№6</v>
      </c>
      <c r="F160" s="50" t="b">
        <f t="shared" si="5"/>
        <v>1</v>
      </c>
      <c r="G160" s="50">
        <f>IF($F160,COUNTIF($F$1:$F160,TRUE),"")</f>
        <v>160</v>
      </c>
      <c r="H160" s="50" t="str">
        <f>IFERROR(INDEX(NameStudent,MATCH(ROWS($H$1:$H160),Index,0)),"")</f>
        <v>Закиров Артур Рустемович;6-18Р087/2018;814932;№6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142768</v>
      </c>
      <c r="B161" s="66" t="s">
        <v>240</v>
      </c>
      <c r="C161" s="63" t="s">
        <v>241</v>
      </c>
      <c r="D161" s="66" t="s">
        <v>55</v>
      </c>
      <c r="E161" s="50" t="str">
        <f t="shared" si="4"/>
        <v>Закорчемный Никита Тарасович;6-16Р087 /2016;142768;№6</v>
      </c>
      <c r="F161" s="50" t="b">
        <f t="shared" si="5"/>
        <v>1</v>
      </c>
      <c r="G161" s="50">
        <f>IF($F161,COUNTIF($F$1:$F161,TRUE),"")</f>
        <v>161</v>
      </c>
      <c r="H161" s="50" t="str">
        <f>IFERROR(INDEX(NameStudent,MATCH(ROWS($H$1:$H161),Index,0)),"")</f>
        <v>Закорчемный Никита Тарасович;6-16Р087 /2016;142768;№6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817769</v>
      </c>
      <c r="B162" s="66" t="s">
        <v>1013</v>
      </c>
      <c r="C162" s="63" t="s">
        <v>1014</v>
      </c>
      <c r="D162" s="66" t="s">
        <v>55</v>
      </c>
      <c r="E162" s="50" t="str">
        <f t="shared" si="4"/>
        <v>Залаев Мухаммад-Эмин Резванович;6-16Р221/18;817769;№6</v>
      </c>
      <c r="F162" s="50" t="b">
        <f t="shared" si="5"/>
        <v>1</v>
      </c>
      <c r="G162" s="50">
        <f>IF($F162,COUNTIF($F$1:$F162,TRUE),"")</f>
        <v>162</v>
      </c>
      <c r="H162" s="50" t="str">
        <f>IFERROR(INDEX(NameStudent,MATCH(ROWS($H$1:$H162),Index,0)),"")</f>
        <v>Залаев Мухаммад-Эмин Резванович;6-16Р221/18;817769;№6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55">
        <v>816812</v>
      </c>
      <c r="B163" s="55" t="s">
        <v>827</v>
      </c>
      <c r="C163" s="58" t="s">
        <v>828</v>
      </c>
      <c r="D163" s="55" t="s">
        <v>55</v>
      </c>
      <c r="E163" s="50" t="str">
        <f t="shared" si="4"/>
        <v>Залялютдинова Алина Ильдаровна;6-18РМ006/2018;816812;№6</v>
      </c>
      <c r="F163" s="50" t="b">
        <f t="shared" si="5"/>
        <v>1</v>
      </c>
      <c r="G163" s="50">
        <f>IF($F163,COUNTIF($F$1:$F163,TRUE),"")</f>
        <v>163</v>
      </c>
      <c r="H163" s="50" t="str">
        <f>IFERROR(INDEX(NameStudent,MATCH(ROWS($H$1:$H163),Index,0)),"")</f>
        <v>Залялютдинова Алина Ильдаровна;6-18РМ006/2018;816812;№6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814937</v>
      </c>
      <c r="B164" s="66" t="s">
        <v>1613</v>
      </c>
      <c r="C164" s="63" t="s">
        <v>662</v>
      </c>
      <c r="D164" s="66" t="s">
        <v>55</v>
      </c>
      <c r="E164" s="50" t="str">
        <f t="shared" si="4"/>
        <v>Замурагин Юрий Михайлович;6-18РМ037/2018;814937;№6</v>
      </c>
      <c r="F164" s="50" t="b">
        <f t="shared" si="5"/>
        <v>1</v>
      </c>
      <c r="G164" s="50">
        <f>IF($F164,COUNTIF($F$1:$F164,TRUE),"")</f>
        <v>164</v>
      </c>
      <c r="H164" s="50" t="str">
        <f>IFERROR(INDEX(NameStudent,MATCH(ROWS($H$1:$H164),Index,0)),"")</f>
        <v>Замурагин Юрий Михайлович;6-18РМ037/2018;814937;№6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65">
        <v>142769</v>
      </c>
      <c r="B165" s="66" t="s">
        <v>242</v>
      </c>
      <c r="C165" s="63" t="s">
        <v>243</v>
      </c>
      <c r="D165" s="66" t="s">
        <v>55</v>
      </c>
      <c r="E165" s="50" t="str">
        <f t="shared" si="4"/>
        <v>Захаров Иван Сергеевич;6-16Р148 /2016;142769;№6</v>
      </c>
      <c r="F165" s="50" t="b">
        <f t="shared" si="5"/>
        <v>1</v>
      </c>
      <c r="G165" s="50">
        <f>IF($F165,COUNTIF($F$1:$F165,TRUE),"")</f>
        <v>165</v>
      </c>
      <c r="H165" s="50" t="str">
        <f>IFERROR(INDEX(NameStudent,MATCH(ROWS($H$1:$H165),Index,0)),"")</f>
        <v>Захаров Иван Сергеевич;6-16Р148 /2016;142769;№6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65">
        <v>784850</v>
      </c>
      <c r="B166" s="66" t="s">
        <v>366</v>
      </c>
      <c r="C166" s="63" t="s">
        <v>367</v>
      </c>
      <c r="D166" s="66" t="s">
        <v>55</v>
      </c>
      <c r="E166" s="50" t="str">
        <f t="shared" si="4"/>
        <v>Захаров Павел Михайлович;6-17Р113 /2017;784850;№6</v>
      </c>
      <c r="F166" s="50" t="b">
        <f t="shared" si="5"/>
        <v>1</v>
      </c>
      <c r="G166" s="50">
        <f>IF($F166,COUNTIF($F$1:$F166,TRUE),"")</f>
        <v>166</v>
      </c>
      <c r="H166" s="50" t="str">
        <f>IFERROR(INDEX(NameStudent,MATCH(ROWS($H$1:$H166),Index,0)),"")</f>
        <v>Захаров Павел Михайлович;6-17Р113 /2017;784850;№6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142770</v>
      </c>
      <c r="B167" s="66" t="s">
        <v>244</v>
      </c>
      <c r="C167" s="63" t="s">
        <v>245</v>
      </c>
      <c r="D167" s="66" t="s">
        <v>55</v>
      </c>
      <c r="E167" s="50" t="str">
        <f t="shared" si="4"/>
        <v>Захаров Юрий Евгеньевич;6-16Р133 /2016;142770;№6</v>
      </c>
      <c r="F167" s="50" t="b">
        <f t="shared" si="5"/>
        <v>1</v>
      </c>
      <c r="G167" s="50">
        <f>IF($F167,COUNTIF($F$1:$F167,TRUE),"")</f>
        <v>167</v>
      </c>
      <c r="H167" s="50" t="str">
        <f>IFERROR(INDEX(NameStudent,MATCH(ROWS($H$1:$H167),Index,0)),"")</f>
        <v>Захаров Юрий Евгеньевич;6-16Р133 /2016;142770;№6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127712</v>
      </c>
      <c r="B168" s="66" t="s">
        <v>98</v>
      </c>
      <c r="C168" s="63" t="s">
        <v>99</v>
      </c>
      <c r="D168" s="66" t="s">
        <v>55</v>
      </c>
      <c r="E168" s="50" t="str">
        <f t="shared" si="4"/>
        <v>Захарян Никита Русланович;6-15Р112 /2015;127712;№6</v>
      </c>
      <c r="F168" s="50" t="b">
        <f t="shared" si="5"/>
        <v>1</v>
      </c>
      <c r="G168" s="50">
        <f>IF($F168,COUNTIF($F$1:$F168,TRUE),"")</f>
        <v>168</v>
      </c>
      <c r="H168" s="50" t="str">
        <f>IFERROR(INDEX(NameStudent,MATCH(ROWS($H$1:$H168),Index,0)),"")</f>
        <v>Захарян Никита Русланович;6-15Р112 /2015;127712;№6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816751</v>
      </c>
      <c r="B169" s="66" t="s">
        <v>1073</v>
      </c>
      <c r="C169" s="63" t="s">
        <v>1074</v>
      </c>
      <c r="D169" s="66" t="s">
        <v>55</v>
      </c>
      <c r="E169" s="50" t="str">
        <f t="shared" si="4"/>
        <v>Зеленюк Егор Сергеевич;6-16М948/2018;816751;№6</v>
      </c>
      <c r="F169" s="50" t="b">
        <f t="shared" si="5"/>
        <v>1</v>
      </c>
      <c r="G169" s="50">
        <f>IF($F169,COUNTIF($F$1:$F169,TRUE),"")</f>
        <v>169</v>
      </c>
      <c r="H169" s="50" t="str">
        <f>IFERROR(INDEX(NameStudent,MATCH(ROWS($H$1:$H169),Index,0)),"")</f>
        <v>Зеленюк Егор Сергеевич;6-16М948/2018;816751;№6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814943</v>
      </c>
      <c r="B170" s="66" t="s">
        <v>663</v>
      </c>
      <c r="C170" s="63" t="s">
        <v>664</v>
      </c>
      <c r="D170" s="66" t="s">
        <v>55</v>
      </c>
      <c r="E170" s="50" t="str">
        <f t="shared" si="4"/>
        <v>Зимин Иван Алексеевич;6-18Р139/2018;814943;№6</v>
      </c>
      <c r="F170" s="50" t="b">
        <f t="shared" si="5"/>
        <v>1</v>
      </c>
      <c r="G170" s="50">
        <f>IF($F170,COUNTIF($F$1:$F170,TRUE),"")</f>
        <v>170</v>
      </c>
      <c r="H170" s="50" t="str">
        <f>IFERROR(INDEX(NameStudent,MATCH(ROWS($H$1:$H170),Index,0)),"")</f>
        <v>Зимин Иван Алексеевич;6-18Р139/2018;814943;№6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788196</v>
      </c>
      <c r="B171" s="66" t="s">
        <v>552</v>
      </c>
      <c r="C171" s="63" t="s">
        <v>553</v>
      </c>
      <c r="D171" s="66" t="s">
        <v>55</v>
      </c>
      <c r="E171" s="50" t="str">
        <f t="shared" si="4"/>
        <v>Зинин Кирилл Михайлович;6-13М169 /2017;788196;№6</v>
      </c>
      <c r="F171" s="50" t="b">
        <f t="shared" si="5"/>
        <v>1</v>
      </c>
      <c r="G171" s="50">
        <f>IF($F171,COUNTIF($F$1:$F171,TRUE),"")</f>
        <v>171</v>
      </c>
      <c r="H171" s="50" t="str">
        <f>IFERROR(INDEX(NameStudent,MATCH(ROWS($H$1:$H171),Index,0)),"")</f>
        <v>Зинин Кирилл Михайлович;6-13М169 /2017;788196;№6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814947</v>
      </c>
      <c r="B172" s="66" t="s">
        <v>665</v>
      </c>
      <c r="C172" s="63" t="s">
        <v>666</v>
      </c>
      <c r="D172" s="66" t="s">
        <v>55</v>
      </c>
      <c r="E172" s="50" t="str">
        <f t="shared" si="4"/>
        <v>Зуев Роман Витальевич;6-18М074/2018;814947;№6</v>
      </c>
      <c r="F172" s="50" t="b">
        <f t="shared" si="5"/>
        <v>1</v>
      </c>
      <c r="G172" s="50">
        <f>IF($F172,COUNTIF($F$1:$F172,TRUE),"")</f>
        <v>172</v>
      </c>
      <c r="H172" s="50" t="str">
        <f>IFERROR(INDEX(NameStudent,MATCH(ROWS($H$1:$H172),Index,0)),"")</f>
        <v>Зуев Роман Витальевич;6-18М074/2018;814947;№6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785402</v>
      </c>
      <c r="B173" s="66" t="s">
        <v>506</v>
      </c>
      <c r="C173" s="63" t="s">
        <v>507</v>
      </c>
      <c r="D173" s="66" t="s">
        <v>55</v>
      </c>
      <c r="E173" s="50" t="str">
        <f t="shared" si="4"/>
        <v>Зянтереков Максим Андреевич;6-17Р115 /2017;785402;№6</v>
      </c>
      <c r="F173" s="50" t="b">
        <f t="shared" si="5"/>
        <v>1</v>
      </c>
      <c r="G173" s="50">
        <f>IF($F173,COUNTIF($F$1:$F173,TRUE),"")</f>
        <v>173</v>
      </c>
      <c r="H173" s="50" t="str">
        <f>IFERROR(INDEX(NameStudent,MATCH(ROWS($H$1:$H173),Index,0)),"")</f>
        <v>Зянтереков Максим Андреевич;6-17Р115 /2017;785402;№6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784851</v>
      </c>
      <c r="B174" s="66" t="s">
        <v>368</v>
      </c>
      <c r="C174" s="63" t="s">
        <v>369</v>
      </c>
      <c r="D174" s="66" t="s">
        <v>55</v>
      </c>
      <c r="E174" s="50" t="str">
        <f t="shared" si="4"/>
        <v>Иванов Алексей Сергеевич;6-17Р183 /2017;784851;№6</v>
      </c>
      <c r="F174" s="50" t="b">
        <f t="shared" si="5"/>
        <v>1</v>
      </c>
      <c r="G174" s="50">
        <f>IF($F174,COUNTIF($F$1:$F174,TRUE),"")</f>
        <v>174</v>
      </c>
      <c r="H174" s="50" t="str">
        <f>IFERROR(INDEX(NameStudent,MATCH(ROWS($H$1:$H174),Index,0)),"")</f>
        <v>Иванов Алексей Сергеевич;6-17Р183 /2017;784851;№6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817772</v>
      </c>
      <c r="B175" s="66" t="s">
        <v>1015</v>
      </c>
      <c r="C175" s="63" t="s">
        <v>1016</v>
      </c>
      <c r="D175" s="66" t="s">
        <v>55</v>
      </c>
      <c r="E175" s="50" t="str">
        <f t="shared" si="4"/>
        <v>Иванов Борис Константинович;6-15Р113/18;817772;№6</v>
      </c>
      <c r="F175" s="50" t="b">
        <f t="shared" si="5"/>
        <v>1</v>
      </c>
      <c r="G175" s="50">
        <f>IF($F175,COUNTIF($F$1:$F175,TRUE),"")</f>
        <v>175</v>
      </c>
      <c r="H175" s="50" t="str">
        <f>IFERROR(INDEX(NameStudent,MATCH(ROWS($H$1:$H175),Index,0)),"")</f>
        <v>Иванов Борис Константинович;6-15Р113/18;817772;№6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55">
        <v>817744</v>
      </c>
      <c r="B176" s="55" t="s">
        <v>883</v>
      </c>
      <c r="C176" s="58" t="s">
        <v>884</v>
      </c>
      <c r="D176" s="55" t="s">
        <v>55</v>
      </c>
      <c r="E176" s="50" t="str">
        <f t="shared" si="4"/>
        <v>Иванов Владислав Романович;6-13М170/2018;817744;№6</v>
      </c>
      <c r="F176" s="50" t="b">
        <f t="shared" si="5"/>
        <v>1</v>
      </c>
      <c r="G176" s="50">
        <f>IF($F176,COUNTIF($F$1:$F176,TRUE),"")</f>
        <v>176</v>
      </c>
      <c r="H176" s="50" t="str">
        <f>IFERROR(INDEX(NameStudent,MATCH(ROWS($H$1:$H176),Index,0)),"")</f>
        <v>Иванов Владислав Романович;6-13М170/2018;817744;№6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55">
        <v>817746</v>
      </c>
      <c r="B177" s="55" t="s">
        <v>885</v>
      </c>
      <c r="C177" s="58" t="s">
        <v>886</v>
      </c>
      <c r="D177" s="55" t="s">
        <v>55</v>
      </c>
      <c r="E177" s="50" t="str">
        <f t="shared" si="4"/>
        <v>Иванов Евгений Владимирович;6-13М258/2018;817746;№6</v>
      </c>
      <c r="F177" s="50" t="b">
        <f t="shared" si="5"/>
        <v>1</v>
      </c>
      <c r="G177" s="50">
        <f>IF($F177,COUNTIF($F$1:$F177,TRUE),"")</f>
        <v>177</v>
      </c>
      <c r="H177" s="50" t="str">
        <f>IFERROR(INDEX(NameStudent,MATCH(ROWS($H$1:$H177),Index,0)),"")</f>
        <v>Иванов Евгений Владимирович;6-13М258/2018;817746;№6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142771</v>
      </c>
      <c r="B178" s="66" t="s">
        <v>246</v>
      </c>
      <c r="C178" s="63" t="s">
        <v>247</v>
      </c>
      <c r="D178" s="66" t="s">
        <v>55</v>
      </c>
      <c r="E178" s="50" t="str">
        <f t="shared" si="4"/>
        <v>Иванова Анастасия Константиновна;6-16Р110 /2016;142771;№6</v>
      </c>
      <c r="F178" s="50" t="b">
        <f t="shared" si="5"/>
        <v>1</v>
      </c>
      <c r="G178" s="50">
        <f>IF($F178,COUNTIF($F$1:$F178,TRUE),"")</f>
        <v>178</v>
      </c>
      <c r="H178" s="50" t="str">
        <f>IFERROR(INDEX(NameStudent,MATCH(ROWS($H$1:$H178),Index,0)),"")</f>
        <v>Иванова Анастасия Константиновна;6-16Р110 /2016;142771;№6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142773</v>
      </c>
      <c r="B179" s="66" t="s">
        <v>250</v>
      </c>
      <c r="C179" s="63" t="s">
        <v>251</v>
      </c>
      <c r="D179" s="66" t="s">
        <v>55</v>
      </c>
      <c r="E179" s="50" t="str">
        <f t="shared" si="4"/>
        <v>Иванова Дарья Владимировна;6-16Р134 /2016;142773;№6</v>
      </c>
      <c r="F179" s="50" t="b">
        <f t="shared" si="5"/>
        <v>1</v>
      </c>
      <c r="G179" s="50">
        <f>IF($F179,COUNTIF($F$1:$F179,TRUE),"")</f>
        <v>179</v>
      </c>
      <c r="H179" s="50" t="str">
        <f>IFERROR(INDEX(NameStudent,MATCH(ROWS($H$1:$H179),Index,0)),"")</f>
        <v>Иванова Дарья Владимировна;6-16Р134 /2016;142773;№6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127715</v>
      </c>
      <c r="B180" s="66" t="s">
        <v>100</v>
      </c>
      <c r="C180" s="63" t="s">
        <v>101</v>
      </c>
      <c r="D180" s="66" t="s">
        <v>55</v>
      </c>
      <c r="E180" s="50" t="str">
        <f t="shared" si="4"/>
        <v>Иевлев Алгыс Андрианович;6-15Р114 /2015;127715;№6</v>
      </c>
      <c r="F180" s="50" t="b">
        <f t="shared" si="5"/>
        <v>1</v>
      </c>
      <c r="G180" s="50">
        <f>IF($F180,COUNTIF($F$1:$F180,TRUE),"")</f>
        <v>180</v>
      </c>
      <c r="H180" s="50" t="str">
        <f>IFERROR(INDEX(NameStudent,MATCH(ROWS($H$1:$H180),Index,0)),"")</f>
        <v>Иевлев Алгыс Андрианович;6-15Р114 /2015;127715;№6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820341</v>
      </c>
      <c r="B181" s="66" t="s">
        <v>1115</v>
      </c>
      <c r="C181" s="63" t="s">
        <v>1116</v>
      </c>
      <c r="D181" s="66" t="s">
        <v>55</v>
      </c>
      <c r="E181" s="50" t="str">
        <f t="shared" si="4"/>
        <v>Ильвес Бруно  ;6-16ИР06/2018;820341;№6</v>
      </c>
      <c r="F181" s="50" t="b">
        <f t="shared" si="5"/>
        <v>1</v>
      </c>
      <c r="G181" s="50">
        <f>IF($F181,COUNTIF($F$1:$F181,TRUE),"")</f>
        <v>181</v>
      </c>
      <c r="H181" s="50" t="str">
        <f>IFERROR(INDEX(NameStudent,MATCH(ROWS($H$1:$H181),Index,0)),"")</f>
        <v>Ильвес Бруно  ;6-16ИР06/2018;820341;№6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784853</v>
      </c>
      <c r="B182" s="66" t="s">
        <v>370</v>
      </c>
      <c r="C182" s="63" t="s">
        <v>371</v>
      </c>
      <c r="D182" s="66" t="s">
        <v>55</v>
      </c>
      <c r="E182" s="50" t="str">
        <f t="shared" si="4"/>
        <v>Ильенко Антон Александрович;6-17Р080 /2017;784853;№6</v>
      </c>
      <c r="F182" s="50" t="b">
        <f t="shared" si="5"/>
        <v>1</v>
      </c>
      <c r="G182" s="50">
        <f>IF($F182,COUNTIF($F$1:$F182,TRUE),"")</f>
        <v>182</v>
      </c>
      <c r="H182" s="50" t="str">
        <f>IFERROR(INDEX(NameStudent,MATCH(ROWS($H$1:$H182),Index,0)),"")</f>
        <v>Ильенко Антон Александрович;6-17Р080 /2017;784853;№6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65">
        <v>785406</v>
      </c>
      <c r="B183" s="66" t="s">
        <v>508</v>
      </c>
      <c r="C183" s="63" t="s">
        <v>509</v>
      </c>
      <c r="D183" s="66" t="s">
        <v>55</v>
      </c>
      <c r="E183" s="50" t="str">
        <f t="shared" si="4"/>
        <v>Ильиных Данил Алексеевич;6-17Р015 /2017;785406;№6</v>
      </c>
      <c r="F183" s="50" t="b">
        <f t="shared" si="5"/>
        <v>1</v>
      </c>
      <c r="G183" s="50">
        <f>IF($F183,COUNTIF($F$1:$F183,TRUE),"")</f>
        <v>183</v>
      </c>
      <c r="H183" s="50" t="str">
        <f>IFERROR(INDEX(NameStudent,MATCH(ROWS($H$1:$H183),Index,0)),"")</f>
        <v>Ильиных Данил Алексеевич;6-17Р015 /2017;785406;№6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65">
        <v>142772</v>
      </c>
      <c r="B184" s="66" t="s">
        <v>248</v>
      </c>
      <c r="C184" s="63" t="s">
        <v>249</v>
      </c>
      <c r="D184" s="66" t="s">
        <v>55</v>
      </c>
      <c r="E184" s="50" t="str">
        <f t="shared" si="4"/>
        <v>Илюшков Илья Николаевич;6-16Р111 /2016;142772;№6</v>
      </c>
      <c r="F184" s="50" t="b">
        <f t="shared" si="5"/>
        <v>1</v>
      </c>
      <c r="G184" s="50">
        <f>IF($F184,COUNTIF($F$1:$F184,TRUE),"")</f>
        <v>184</v>
      </c>
      <c r="H184" s="50" t="str">
        <f>IFERROR(INDEX(NameStudent,MATCH(ROWS($H$1:$H184),Index,0)),"")</f>
        <v>Илюшков Илья Николаевич;6-16Р111 /2016;142772;№6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789930</v>
      </c>
      <c r="B185" s="66" t="s">
        <v>582</v>
      </c>
      <c r="C185" s="63" t="s">
        <v>583</v>
      </c>
      <c r="D185" s="66" t="s">
        <v>55</v>
      </c>
      <c r="E185" s="50" t="str">
        <f t="shared" si="4"/>
        <v>Иманаев Марк Русланович;6-17Ю025 /2017;789930;№6</v>
      </c>
      <c r="F185" s="50" t="b">
        <f t="shared" si="5"/>
        <v>1</v>
      </c>
      <c r="G185" s="50">
        <f>IF($F185,COUNTIF($F$1:$F185,TRUE),"")</f>
        <v>185</v>
      </c>
      <c r="H185" s="50" t="str">
        <f>IFERROR(INDEX(NameStudent,MATCH(ROWS($H$1:$H185),Index,0)),"")</f>
        <v>Иманаев Марк Русланович;6-17Ю025 /2017;789930;№6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814953</v>
      </c>
      <c r="B186" s="66" t="s">
        <v>667</v>
      </c>
      <c r="C186" s="63" t="s">
        <v>668</v>
      </c>
      <c r="D186" s="66" t="s">
        <v>55</v>
      </c>
      <c r="E186" s="50" t="str">
        <f t="shared" si="4"/>
        <v>Йокубаускас Дмитрий Каститисович;6-18Р118/2018;814953;№6</v>
      </c>
      <c r="F186" s="50" t="b">
        <f t="shared" si="5"/>
        <v>1</v>
      </c>
      <c r="G186" s="50">
        <f>IF($F186,COUNTIF($F$1:$F186,TRUE),"")</f>
        <v>186</v>
      </c>
      <c r="H186" s="50" t="str">
        <f>IFERROR(INDEX(NameStudent,MATCH(ROWS($H$1:$H186),Index,0)),"")</f>
        <v>Йокубаускас Дмитрий Каститисович;6-18Р118/2018;814953;№6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65">
        <v>820460</v>
      </c>
      <c r="B187" s="66" t="s">
        <v>1137</v>
      </c>
      <c r="C187" s="63" t="s">
        <v>1138</v>
      </c>
      <c r="D187" s="66" t="s">
        <v>55</v>
      </c>
      <c r="E187" s="50" t="str">
        <f t="shared" si="4"/>
        <v>Исмоилов Мухаммадбилол Камолиддин угли;6-18М614/2018;820460;№6</v>
      </c>
      <c r="F187" s="50" t="b">
        <f t="shared" si="5"/>
        <v>1</v>
      </c>
      <c r="G187" s="50">
        <f>IF($F187,COUNTIF($F$1:$F187,TRUE),"")</f>
        <v>187</v>
      </c>
      <c r="H187" s="50" t="str">
        <f>IFERROR(INDEX(NameStudent,MATCH(ROWS($H$1:$H187),Index,0)),"")</f>
        <v>Исмоилов Мухаммадбилол Камолиддин угли;6-18М614/2018;820460;№6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65">
        <v>777777</v>
      </c>
      <c r="B188" s="66" t="s">
        <v>342</v>
      </c>
      <c r="C188" s="63" t="s">
        <v>343</v>
      </c>
      <c r="D188" s="66" t="s">
        <v>55</v>
      </c>
      <c r="E188" s="50" t="str">
        <f t="shared" si="4"/>
        <v>Исхаков Артур Радикович;6-16Р267 /2017;777777;№6</v>
      </c>
      <c r="F188" s="50" t="b">
        <f t="shared" si="5"/>
        <v>1</v>
      </c>
      <c r="G188" s="50">
        <f>IF($F188,COUNTIF($F$1:$F188,TRUE),"")</f>
        <v>188</v>
      </c>
      <c r="H188" s="50" t="str">
        <f>IFERROR(INDEX(NameStudent,MATCH(ROWS($H$1:$H188),Index,0)),"")</f>
        <v>Исхаков Артур Радикович;6-16Р267 /2017;777777;№6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814959</v>
      </c>
      <c r="B189" s="66" t="s">
        <v>669</v>
      </c>
      <c r="C189" s="63" t="s">
        <v>670</v>
      </c>
      <c r="D189" s="66" t="s">
        <v>55</v>
      </c>
      <c r="E189" s="50" t="str">
        <f t="shared" si="4"/>
        <v>Кадыков Никита Ильич;6-18Р119/2018;814959;№6</v>
      </c>
      <c r="F189" s="50" t="b">
        <f t="shared" si="5"/>
        <v>1</v>
      </c>
      <c r="G189" s="50">
        <f>IF($F189,COUNTIF($F$1:$F189,TRUE),"")</f>
        <v>189</v>
      </c>
      <c r="H189" s="50" t="str">
        <f>IFERROR(INDEX(NameStudent,MATCH(ROWS($H$1:$H189),Index,0)),"")</f>
        <v>Кадыков Никита Ильич;6-18Р119/2018;814959;№6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784854</v>
      </c>
      <c r="B190" s="66" t="s">
        <v>372</v>
      </c>
      <c r="C190" s="63" t="s">
        <v>373</v>
      </c>
      <c r="D190" s="66" t="s">
        <v>55</v>
      </c>
      <c r="E190" s="50" t="str">
        <f t="shared" si="4"/>
        <v>Казачков Андрей Алексеевич;6-17Р081 /2017;784854;№6</v>
      </c>
      <c r="F190" s="50" t="b">
        <f t="shared" si="5"/>
        <v>1</v>
      </c>
      <c r="G190" s="50">
        <f>IF($F190,COUNTIF($F$1:$F190,TRUE),"")</f>
        <v>190</v>
      </c>
      <c r="H190" s="50" t="str">
        <f>IFERROR(INDEX(NameStudent,MATCH(ROWS($H$1:$H190),Index,0)),"")</f>
        <v>Казачков Андрей Алексеевич;6-17Р081 /2017;784854;№6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784855</v>
      </c>
      <c r="B191" s="66" t="s">
        <v>374</v>
      </c>
      <c r="C191" s="63" t="s">
        <v>375</v>
      </c>
      <c r="D191" s="66" t="s">
        <v>55</v>
      </c>
      <c r="E191" s="50" t="str">
        <f t="shared" si="4"/>
        <v>Казимирова Анна Александровна;6-17Р082 /2017;784855;№6</v>
      </c>
      <c r="F191" s="50" t="b">
        <f t="shared" si="5"/>
        <v>1</v>
      </c>
      <c r="G191" s="50">
        <f>IF($F191,COUNTIF($F$1:$F191,TRUE),"")</f>
        <v>191</v>
      </c>
      <c r="H191" s="50" t="str">
        <f>IFERROR(INDEX(NameStudent,MATCH(ROWS($H$1:$H191),Index,0)),"")</f>
        <v>Казимирова Анна Александровна;6-17Р082 /2017;784855;№6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816753</v>
      </c>
      <c r="B192" s="66" t="s">
        <v>1075</v>
      </c>
      <c r="C192" s="63" t="s">
        <v>1076</v>
      </c>
      <c r="D192" s="66" t="s">
        <v>55</v>
      </c>
      <c r="E192" s="50" t="str">
        <f t="shared" si="4"/>
        <v>Калайда Алексейс  ;6-17ИЮ01/2018;816753;№6</v>
      </c>
      <c r="F192" s="50" t="b">
        <f t="shared" si="5"/>
        <v>1</v>
      </c>
      <c r="G192" s="50">
        <f>IF($F192,COUNTIF($F$1:$F192,TRUE),"")</f>
        <v>192</v>
      </c>
      <c r="H192" s="50" t="str">
        <f>IFERROR(INDEX(NameStudent,MATCH(ROWS($H$1:$H192),Index,0)),"")</f>
        <v>Калайда Алексейс  ;6-17ИЮ01/2018;816753;№6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142774</v>
      </c>
      <c r="B193" s="66" t="s">
        <v>252</v>
      </c>
      <c r="C193" s="63" t="s">
        <v>253</v>
      </c>
      <c r="D193" s="66" t="s">
        <v>55</v>
      </c>
      <c r="E193" s="50" t="str">
        <f t="shared" ref="E193:E256" si="6">LEFT(C193,IF(ISERROR(FIND(":",C193))=TRUE,LEN(C193),FIND(":",C193)-1)) &amp; ";" &amp; B193 &amp; ";" &amp; A193 &amp; ";" &amp;D193</f>
        <v>Калмыкаев Руслан Исаевич;6-16Р030 /2016;142774;№6</v>
      </c>
      <c r="F193" s="50" t="b">
        <f t="shared" ref="F193:F256" si="7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Калмыкаев Руслан Исаевич;6-16Р030 /2016;142774;№6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55">
        <v>827184</v>
      </c>
      <c r="B194" s="55" t="s">
        <v>955</v>
      </c>
      <c r="C194" s="58" t="s">
        <v>956</v>
      </c>
      <c r="D194" s="55" t="s">
        <v>55</v>
      </c>
      <c r="E194" s="50" t="str">
        <f t="shared" si="6"/>
        <v>Канаан Макс Джорджевич;6-17Р302/2019;827184;№6</v>
      </c>
      <c r="F194" s="50" t="b">
        <f t="shared" si="7"/>
        <v>1</v>
      </c>
      <c r="G194" s="50">
        <f>IF($F194,COUNTIF($F$1:$F194,TRUE),"")</f>
        <v>194</v>
      </c>
      <c r="H194" s="50" t="str">
        <f>IFERROR(INDEX(NameStudent,MATCH(ROWS($H$1:$H194),Index,0)),"")</f>
        <v>Канаан Макс Джорджевич;6-17Р302/2019;827184;№6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55">
        <v>816881</v>
      </c>
      <c r="B195" s="55" t="s">
        <v>869</v>
      </c>
      <c r="C195" s="58" t="s">
        <v>870</v>
      </c>
      <c r="D195" s="55" t="s">
        <v>55</v>
      </c>
      <c r="E195" s="50" t="str">
        <f t="shared" si="6"/>
        <v>Кандрахин Никита Александрович;6-18Р175/2018;816881;№6</v>
      </c>
      <c r="F195" s="50" t="b">
        <f t="shared" si="7"/>
        <v>1</v>
      </c>
      <c r="G195" s="50">
        <f>IF($F195,COUNTIF($F$1:$F195,TRUE),"")</f>
        <v>195</v>
      </c>
      <c r="H195" s="50" t="str">
        <f>IFERROR(INDEX(NameStudent,MATCH(ROWS($H$1:$H195),Index,0)),"")</f>
        <v>Кандрахин Никита Александрович;6-18Р175/2018;816881;№6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65">
        <v>788617</v>
      </c>
      <c r="B196" s="66" t="s">
        <v>568</v>
      </c>
      <c r="C196" s="63" t="s">
        <v>569</v>
      </c>
      <c r="D196" s="66" t="s">
        <v>55</v>
      </c>
      <c r="E196" s="50" t="str">
        <f t="shared" si="6"/>
        <v>Карамышев Иван Андреевич;6-15М022 /2017;788617;№6</v>
      </c>
      <c r="F196" s="50" t="b">
        <f t="shared" si="7"/>
        <v>1</v>
      </c>
      <c r="G196" s="50">
        <f>IF($F196,COUNTIF($F$1:$F196,TRUE),"")</f>
        <v>196</v>
      </c>
      <c r="H196" s="50" t="str">
        <f>IFERROR(INDEX(NameStudent,MATCH(ROWS($H$1:$H196),Index,0)),"")</f>
        <v>Карамышев Иван Андреевич;6-15М022 /2017;788617;№6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155033</v>
      </c>
      <c r="B197" s="66" t="s">
        <v>340</v>
      </c>
      <c r="C197" s="63" t="s">
        <v>341</v>
      </c>
      <c r="D197" s="66" t="s">
        <v>55</v>
      </c>
      <c r="E197" s="50" t="str">
        <f t="shared" si="6"/>
        <v>Карманов Александр Валерьевич;6-13М052 /2016;155033;№6</v>
      </c>
      <c r="F197" s="50" t="b">
        <f t="shared" si="7"/>
        <v>1</v>
      </c>
      <c r="G197" s="50">
        <f>IF($F197,COUNTIF($F$1:$F197,TRUE),"")</f>
        <v>197</v>
      </c>
      <c r="H197" s="50" t="str">
        <f>IFERROR(INDEX(NameStudent,MATCH(ROWS($H$1:$H197),Index,0)),"")</f>
        <v>Карманов Александр Валерьевич;6-13М052 /2016;155033;№6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55">
        <v>817748</v>
      </c>
      <c r="B198" s="55" t="s">
        <v>887</v>
      </c>
      <c r="C198" s="58" t="s">
        <v>888</v>
      </c>
      <c r="D198" s="55" t="s">
        <v>55</v>
      </c>
      <c r="E198" s="50" t="str">
        <f t="shared" si="6"/>
        <v>Карпов Михаил Сергеевич;6-14М264/2018;817748;№6</v>
      </c>
      <c r="F198" s="50" t="b">
        <f t="shared" si="7"/>
        <v>1</v>
      </c>
      <c r="G198" s="50">
        <f>IF($F198,COUNTIF($F$1:$F198,TRUE),"")</f>
        <v>198</v>
      </c>
      <c r="H198" s="50" t="str">
        <f>IFERROR(INDEX(NameStudent,MATCH(ROWS($H$1:$H198),Index,0)),"")</f>
        <v>Карпов Михаил Сергеевич;6-14М264/2018;817748;№6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55">
        <v>816815</v>
      </c>
      <c r="B199" s="55" t="s">
        <v>829</v>
      </c>
      <c r="C199" s="58" t="s">
        <v>830</v>
      </c>
      <c r="D199" s="55" t="s">
        <v>55</v>
      </c>
      <c r="E199" s="50" t="str">
        <f t="shared" si="6"/>
        <v>Карпушина Дарья Валерьевна;6-15Р038/2018;816815;№6</v>
      </c>
      <c r="F199" s="50" t="b">
        <f t="shared" si="7"/>
        <v>1</v>
      </c>
      <c r="G199" s="50">
        <f>IF($F199,COUNTIF($F$1:$F199,TRUE),"")</f>
        <v>199</v>
      </c>
      <c r="H199" s="50" t="str">
        <f>IFERROR(INDEX(NameStudent,MATCH(ROWS($H$1:$H199),Index,0)),"")</f>
        <v>Карпушина Дарья Валерьевна;6-15Р038/2018;816815;№6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814982</v>
      </c>
      <c r="B200" s="66" t="s">
        <v>671</v>
      </c>
      <c r="C200" s="63" t="s">
        <v>672</v>
      </c>
      <c r="D200" s="66" t="s">
        <v>55</v>
      </c>
      <c r="E200" s="50" t="str">
        <f t="shared" si="6"/>
        <v>Катаева Полина Константиновна;6-18Р088/2018;814982;№6</v>
      </c>
      <c r="F200" s="50" t="b">
        <f t="shared" si="7"/>
        <v>1</v>
      </c>
      <c r="G200" s="50">
        <f>IF($F200,COUNTIF($F$1:$F200,TRUE),"")</f>
        <v>200</v>
      </c>
      <c r="H200" s="50" t="str">
        <f>IFERROR(INDEX(NameStudent,MATCH(ROWS($H$1:$H200),Index,0)),"")</f>
        <v>Катаева Полина Константиновна;6-18Р088/2018;814982;№6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785063</v>
      </c>
      <c r="B201" s="66" t="s">
        <v>460</v>
      </c>
      <c r="C201" s="63" t="s">
        <v>461</v>
      </c>
      <c r="D201" s="66" t="s">
        <v>55</v>
      </c>
      <c r="E201" s="50" t="str">
        <f t="shared" si="6"/>
        <v>Катнов Артем Александрович;6-17Р116 /2017;785063;№6</v>
      </c>
      <c r="F201" s="50" t="b">
        <f t="shared" si="7"/>
        <v>1</v>
      </c>
      <c r="G201" s="50">
        <f>IF($F201,COUNTIF($F$1:$F201,TRUE),"")</f>
        <v>201</v>
      </c>
      <c r="H201" s="50" t="str">
        <f>IFERROR(INDEX(NameStudent,MATCH(ROWS($H$1:$H201),Index,0)),"")</f>
        <v>Катнов Артем Александрович;6-17Р116 /2017;785063;№6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785409</v>
      </c>
      <c r="B202" s="66" t="s">
        <v>510</v>
      </c>
      <c r="C202" s="63" t="s">
        <v>511</v>
      </c>
      <c r="D202" s="66" t="s">
        <v>55</v>
      </c>
      <c r="E202" s="50" t="str">
        <f t="shared" si="6"/>
        <v>Кашин Николай Леонидович;6-17Р160 /2017;785409;№6</v>
      </c>
      <c r="F202" s="50" t="b">
        <f t="shared" si="7"/>
        <v>1</v>
      </c>
      <c r="G202" s="50">
        <f>IF($F202,COUNTIF($F$1:$F202,TRUE),"")</f>
        <v>202</v>
      </c>
      <c r="H202" s="50" t="str">
        <f>IFERROR(INDEX(NameStudent,MATCH(ROWS($H$1:$H202),Index,0)),"")</f>
        <v>Кашин Николай Леонидович;6-17Р160 /2017;785409;№6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814985</v>
      </c>
      <c r="B203" s="66" t="s">
        <v>673</v>
      </c>
      <c r="C203" s="63" t="s">
        <v>674</v>
      </c>
      <c r="D203" s="66" t="s">
        <v>55</v>
      </c>
      <c r="E203" s="50" t="str">
        <f t="shared" si="6"/>
        <v>Кваша Андрей Андреевич;6-18Р060/2018;814985;№6</v>
      </c>
      <c r="F203" s="50" t="b">
        <f t="shared" si="7"/>
        <v>1</v>
      </c>
      <c r="G203" s="50">
        <f>IF($F203,COUNTIF($F$1:$F203,TRUE),"")</f>
        <v>203</v>
      </c>
      <c r="H203" s="50" t="str">
        <f>IFERROR(INDEX(NameStudent,MATCH(ROWS($H$1:$H203),Index,0)),"")</f>
        <v>Кваша Андрей Андреевич;6-18Р060/2018;814985;№6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65">
        <v>785411</v>
      </c>
      <c r="B204" s="66" t="s">
        <v>512</v>
      </c>
      <c r="C204" s="63" t="s">
        <v>513</v>
      </c>
      <c r="D204" s="66" t="s">
        <v>55</v>
      </c>
      <c r="E204" s="50" t="str">
        <f t="shared" si="6"/>
        <v>Кильчуков Артур Альбертович;6-15М025 /2017;785411;№6</v>
      </c>
      <c r="F204" s="50" t="b">
        <f t="shared" si="7"/>
        <v>1</v>
      </c>
      <c r="G204" s="50">
        <f>IF($F204,COUNTIF($F$1:$F204,TRUE),"")</f>
        <v>204</v>
      </c>
      <c r="H204" s="50" t="str">
        <f>IFERROR(INDEX(NameStudent,MATCH(ROWS($H$1:$H204),Index,0)),"")</f>
        <v>Кильчуков Артур Альбертович;6-15М025 /2017;785411;№6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127723</v>
      </c>
      <c r="B205" s="66" t="s">
        <v>106</v>
      </c>
      <c r="C205" s="63" t="s">
        <v>107</v>
      </c>
      <c r="D205" s="66" t="s">
        <v>55</v>
      </c>
      <c r="E205" s="50" t="str">
        <f t="shared" si="6"/>
        <v>Ким Кирилл Владимирович;6-15Р119 /2015;127723;№6</v>
      </c>
      <c r="F205" s="50" t="b">
        <f t="shared" si="7"/>
        <v>1</v>
      </c>
      <c r="G205" s="50">
        <f>IF($F205,COUNTIF($F$1:$F205,TRUE),"")</f>
        <v>205</v>
      </c>
      <c r="H205" s="50" t="str">
        <f>IFERROR(INDEX(NameStudent,MATCH(ROWS($H$1:$H205),Index,0)),"")</f>
        <v>Ким Кирилл Владимирович;6-15Р119 /2015;127723;№6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142789</v>
      </c>
      <c r="B206" s="66" t="s">
        <v>260</v>
      </c>
      <c r="C206" s="63" t="s">
        <v>261</v>
      </c>
      <c r="D206" s="66" t="s">
        <v>55</v>
      </c>
      <c r="E206" s="50" t="str">
        <f t="shared" si="6"/>
        <v>Кириллов Михаил Сергеевич;6-16Р150 /2016;142789;№6</v>
      </c>
      <c r="F206" s="50" t="b">
        <f t="shared" si="7"/>
        <v>1</v>
      </c>
      <c r="G206" s="50">
        <f>IF($F206,COUNTIF($F$1:$F206,TRUE),"")</f>
        <v>206</v>
      </c>
      <c r="H206" s="50" t="str">
        <f>IFERROR(INDEX(NameStudent,MATCH(ROWS($H$1:$H206),Index,0)),"")</f>
        <v>Кириллов Михаил Сергеевич;6-16Р150 /2016;142789;№6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55">
        <v>817750</v>
      </c>
      <c r="B207" s="55" t="s">
        <v>889</v>
      </c>
      <c r="C207" s="58" t="s">
        <v>890</v>
      </c>
      <c r="D207" s="55" t="s">
        <v>55</v>
      </c>
      <c r="E207" s="50" t="str">
        <f t="shared" si="6"/>
        <v>Кириллов Павел Сергеевич;6-14М267/2018;817750;№6</v>
      </c>
      <c r="F207" s="50" t="b">
        <f t="shared" si="7"/>
        <v>1</v>
      </c>
      <c r="G207" s="50">
        <f>IF($F207,COUNTIF($F$1:$F207,TRUE),"")</f>
        <v>207</v>
      </c>
      <c r="H207" s="50" t="str">
        <f>IFERROR(INDEX(NameStudent,MATCH(ROWS($H$1:$H207),Index,0)),"")</f>
        <v>Кириллов Павел Сергеевич;6-14М267/2018;817750;№6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785059</v>
      </c>
      <c r="B208" s="66" t="s">
        <v>458</v>
      </c>
      <c r="C208" s="63" t="s">
        <v>459</v>
      </c>
      <c r="D208" s="66" t="s">
        <v>55</v>
      </c>
      <c r="E208" s="50" t="str">
        <f t="shared" si="6"/>
        <v>Кирюхин Артем Александрович;6-17Р016 /2017;785059;№6</v>
      </c>
      <c r="F208" s="50" t="b">
        <f t="shared" si="7"/>
        <v>1</v>
      </c>
      <c r="G208" s="50">
        <f>IF($F208,COUNTIF($F$1:$F208,TRUE),"")</f>
        <v>208</v>
      </c>
      <c r="H208" s="50" t="str">
        <f>IFERROR(INDEX(NameStudent,MATCH(ROWS($H$1:$H208),Index,0)),"")</f>
        <v>Кирюхин Артем Александрович;6-17Р016 /2017;785059;№6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784859</v>
      </c>
      <c r="B209" s="66" t="s">
        <v>376</v>
      </c>
      <c r="C209" s="63" t="s">
        <v>377</v>
      </c>
      <c r="D209" s="66" t="s">
        <v>55</v>
      </c>
      <c r="E209" s="50" t="str">
        <f t="shared" si="6"/>
        <v>Кичигина Кристина Сергеевна;6-17Р185 /2017;784859;№6</v>
      </c>
      <c r="F209" s="50" t="b">
        <f t="shared" si="7"/>
        <v>1</v>
      </c>
      <c r="G209" s="50">
        <f>IF($F209,COUNTIF($F$1:$F209,TRUE),"")</f>
        <v>209</v>
      </c>
      <c r="H209" s="50" t="str">
        <f>IFERROR(INDEX(NameStudent,MATCH(ROWS($H$1:$H209),Index,0)),"")</f>
        <v>Кичигина Кристина Сергеевна;6-17Р185 /2017;784859;№6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142777</v>
      </c>
      <c r="B210" s="66" t="s">
        <v>254</v>
      </c>
      <c r="C210" s="63" t="s">
        <v>255</v>
      </c>
      <c r="D210" s="66" t="s">
        <v>55</v>
      </c>
      <c r="E210" s="50" t="str">
        <f t="shared" si="6"/>
        <v>Кленов Александр Андреевич;6-16Р089 /2016;142777;№6</v>
      </c>
      <c r="F210" s="50" t="b">
        <f t="shared" si="7"/>
        <v>1</v>
      </c>
      <c r="G210" s="50">
        <f>IF($F210,COUNTIF($F$1:$F210,TRUE),"")</f>
        <v>210</v>
      </c>
      <c r="H210" s="50" t="str">
        <f>IFERROR(INDEX(NameStudent,MATCH(ROWS($H$1:$H210),Index,0)),"")</f>
        <v>Кленов Александр Андреевич;6-16Р089 /2016;142777;№6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149009</v>
      </c>
      <c r="B211" s="66" t="s">
        <v>324</v>
      </c>
      <c r="C211" s="63" t="s">
        <v>325</v>
      </c>
      <c r="D211" s="66" t="s">
        <v>55</v>
      </c>
      <c r="E211" s="50" t="str">
        <f t="shared" si="6"/>
        <v>Климкин Сергей Андреевич;6-13А009 /2016;149009;№6</v>
      </c>
      <c r="F211" s="50" t="b">
        <f t="shared" si="7"/>
        <v>1</v>
      </c>
      <c r="G211" s="50">
        <f>IF($F211,COUNTIF($F$1:$F211,TRUE),"")</f>
        <v>211</v>
      </c>
      <c r="H211" s="50" t="str">
        <f>IFERROR(INDEX(NameStudent,MATCH(ROWS($H$1:$H211),Index,0)),"")</f>
        <v>Климкин Сергей Андреевич;6-13А009 /2016;149009;№6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814988</v>
      </c>
      <c r="B212" s="66" t="s">
        <v>675</v>
      </c>
      <c r="C212" s="63" t="s">
        <v>676</v>
      </c>
      <c r="D212" s="66" t="s">
        <v>55</v>
      </c>
      <c r="E212" s="50" t="str">
        <f t="shared" si="6"/>
        <v>Клюев Сергей Анатольевич;6-18Р090/2018;814988;№6</v>
      </c>
      <c r="F212" s="50" t="b">
        <f t="shared" si="7"/>
        <v>1</v>
      </c>
      <c r="G212" s="50">
        <f>IF($F212,COUNTIF($F$1:$F212,TRUE),"")</f>
        <v>212</v>
      </c>
      <c r="H212" s="50" t="str">
        <f>IFERROR(INDEX(NameStudent,MATCH(ROWS($H$1:$H212),Index,0)),"")</f>
        <v>Клюев Сергей Анатольевич;6-18Р090/2018;814988;№6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130894</v>
      </c>
      <c r="B213" s="66" t="s">
        <v>190</v>
      </c>
      <c r="C213" s="63" t="s">
        <v>191</v>
      </c>
      <c r="D213" s="66" t="s">
        <v>55</v>
      </c>
      <c r="E213" s="50" t="str">
        <f t="shared" si="6"/>
        <v>Коваленко Ульяна Витальевна;6-15Р215 /2015;130894;№6</v>
      </c>
      <c r="F213" s="50" t="b">
        <f t="shared" si="7"/>
        <v>1</v>
      </c>
      <c r="G213" s="50">
        <f>IF($F213,COUNTIF($F$1:$F213,TRUE),"")</f>
        <v>213</v>
      </c>
      <c r="H213" s="50" t="str">
        <f>IFERROR(INDEX(NameStudent,MATCH(ROWS($H$1:$H213),Index,0)),"")</f>
        <v>Коваленко Ульяна Витальевна;6-15Р215 /2015;130894;№6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65">
        <v>785057</v>
      </c>
      <c r="B214" s="66" t="s">
        <v>456</v>
      </c>
      <c r="C214" s="63" t="s">
        <v>457</v>
      </c>
      <c r="D214" s="66" t="s">
        <v>55</v>
      </c>
      <c r="E214" s="50" t="str">
        <f t="shared" si="6"/>
        <v>Кодак Владислав Олегович;6-17Р161 /2017;785057;№6</v>
      </c>
      <c r="F214" s="50" t="b">
        <f t="shared" si="7"/>
        <v>1</v>
      </c>
      <c r="G214" s="50">
        <f>IF($F214,COUNTIF($F$1:$F214,TRUE),"")</f>
        <v>214</v>
      </c>
      <c r="H214" s="50" t="str">
        <f>IFERROR(INDEX(NameStudent,MATCH(ROWS($H$1:$H214),Index,0)),"")</f>
        <v>Кодак Владислав Олегович;6-17Р161 /2017;785057;№6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55">
        <v>817752</v>
      </c>
      <c r="B215" s="55" t="s">
        <v>891</v>
      </c>
      <c r="C215" s="58" t="s">
        <v>892</v>
      </c>
      <c r="D215" s="55" t="s">
        <v>55</v>
      </c>
      <c r="E215" s="50" t="str">
        <f t="shared" si="6"/>
        <v>Кожевников Дмитрий Алексеевич;6-13М379/2018;817752;№6</v>
      </c>
      <c r="F215" s="50" t="b">
        <f t="shared" si="7"/>
        <v>1</v>
      </c>
      <c r="G215" s="50">
        <f>IF($F215,COUNTIF($F$1:$F215,TRUE),"")</f>
        <v>215</v>
      </c>
      <c r="H215" s="50" t="str">
        <f>IFERROR(INDEX(NameStudent,MATCH(ROWS($H$1:$H215),Index,0)),"")</f>
        <v>Кожевников Дмитрий Алексеевич;6-13М379/2018;817752;№6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65">
        <v>817773</v>
      </c>
      <c r="B216" s="66" t="s">
        <v>1017</v>
      </c>
      <c r="C216" s="63" t="s">
        <v>1018</v>
      </c>
      <c r="D216" s="66" t="s">
        <v>55</v>
      </c>
      <c r="E216" s="50" t="str">
        <f t="shared" si="6"/>
        <v>Кожевников Дмитрий Евгеньевич;6-16Р224/18;817773;№6</v>
      </c>
      <c r="F216" s="50" t="b">
        <f t="shared" si="7"/>
        <v>1</v>
      </c>
      <c r="G216" s="50">
        <f>IF($F216,COUNTIF($F$1:$F216,TRUE),"")</f>
        <v>216</v>
      </c>
      <c r="H216" s="50" t="str">
        <f>IFERROR(INDEX(NameStudent,MATCH(ROWS($H$1:$H216),Index,0)),"")</f>
        <v>Кожевников Дмитрий Евгеньевич;6-16Р224/18;817773;№6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785055</v>
      </c>
      <c r="B217" s="66" t="s">
        <v>454</v>
      </c>
      <c r="C217" s="63" t="s">
        <v>455</v>
      </c>
      <c r="D217" s="66" t="s">
        <v>55</v>
      </c>
      <c r="E217" s="50" t="str">
        <f t="shared" si="6"/>
        <v>Кожин Андрей Рудольфович;6-17Р117 /2017;785055;№6</v>
      </c>
      <c r="F217" s="50" t="b">
        <f t="shared" si="7"/>
        <v>1</v>
      </c>
      <c r="G217" s="50">
        <f>IF($F217,COUNTIF($F$1:$F217,TRUE),"")</f>
        <v>217</v>
      </c>
      <c r="H217" s="50" t="str">
        <f>IFERROR(INDEX(NameStudent,MATCH(ROWS($H$1:$H217),Index,0)),"")</f>
        <v>Кожин Андрей Рудольфович;6-17Р117 /2017;785055;№6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814994</v>
      </c>
      <c r="B218" s="66" t="s">
        <v>677</v>
      </c>
      <c r="C218" s="63" t="s">
        <v>678</v>
      </c>
      <c r="D218" s="66" t="s">
        <v>55</v>
      </c>
      <c r="E218" s="50" t="str">
        <f t="shared" si="6"/>
        <v>Козлов Михаил Юрьевич;6-18М061/2018;814994;№6</v>
      </c>
      <c r="F218" s="50" t="b">
        <f t="shared" si="7"/>
        <v>1</v>
      </c>
      <c r="G218" s="50">
        <f>IF($F218,COUNTIF($F$1:$F218,TRUE),"")</f>
        <v>218</v>
      </c>
      <c r="H218" s="50" t="str">
        <f>IFERROR(INDEX(NameStudent,MATCH(ROWS($H$1:$H218),Index,0)),"")</f>
        <v>Козлов Михаил Юрьевич;6-18М061/2018;814994;№6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149013</v>
      </c>
      <c r="B219" s="66" t="s">
        <v>326</v>
      </c>
      <c r="C219" s="63" t="s">
        <v>327</v>
      </c>
      <c r="D219" s="66" t="s">
        <v>55</v>
      </c>
      <c r="E219" s="50" t="str">
        <f t="shared" si="6"/>
        <v>Колев Георгий Анатольевич;6-13А010 /2016;149013;№6</v>
      </c>
      <c r="F219" s="50" t="b">
        <f t="shared" si="7"/>
        <v>1</v>
      </c>
      <c r="G219" s="50">
        <f>IF($F219,COUNTIF($F$1:$F219,TRUE),"")</f>
        <v>219</v>
      </c>
      <c r="H219" s="50" t="str">
        <f>IFERROR(INDEX(NameStudent,MATCH(ROWS($H$1:$H219),Index,0)),"")</f>
        <v>Колев Георгий Анатольевич;6-13А010 /2016;149013;№6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814999</v>
      </c>
      <c r="B220" s="66" t="s">
        <v>1053</v>
      </c>
      <c r="C220" s="63" t="s">
        <v>1054</v>
      </c>
      <c r="D220" s="66" t="s">
        <v>55</v>
      </c>
      <c r="E220" s="50" t="str">
        <f t="shared" si="6"/>
        <v>Колесникова Евгения Олеговна;6-18М076/2018;814999;№6</v>
      </c>
      <c r="F220" s="50" t="b">
        <f t="shared" si="7"/>
        <v>1</v>
      </c>
      <c r="G220" s="50">
        <f>IF($F220,COUNTIF($F$1:$F220,TRUE),"")</f>
        <v>220</v>
      </c>
      <c r="H220" s="50" t="str">
        <f>IFERROR(INDEX(NameStudent,MATCH(ROWS($H$1:$H220),Index,0)),"")</f>
        <v>Колесникова Евгения Олеговна;6-18М076/2018;814999;№6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815008</v>
      </c>
      <c r="B221" s="66" t="s">
        <v>679</v>
      </c>
      <c r="C221" s="63" t="s">
        <v>680</v>
      </c>
      <c r="D221" s="66" t="s">
        <v>55</v>
      </c>
      <c r="E221" s="50" t="str">
        <f t="shared" si="6"/>
        <v>Колногоров Артем Викторович;6-18Р091/2018;815008;№6</v>
      </c>
      <c r="F221" s="50" t="b">
        <f t="shared" si="7"/>
        <v>1</v>
      </c>
      <c r="G221" s="50">
        <f>IF($F221,COUNTIF($F$1:$F221,TRUE),"")</f>
        <v>221</v>
      </c>
      <c r="H221" s="50" t="str">
        <f>IFERROR(INDEX(NameStudent,MATCH(ROWS($H$1:$H221),Index,0)),"")</f>
        <v>Колногоров Артем Викторович;6-18Р091/2018;815008;№6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65">
        <v>820464</v>
      </c>
      <c r="B222" s="66" t="s">
        <v>1139</v>
      </c>
      <c r="C222" s="63" t="s">
        <v>1140</v>
      </c>
      <c r="D222" s="66" t="s">
        <v>55</v>
      </c>
      <c r="E222" s="50" t="str">
        <f t="shared" si="6"/>
        <v>Комиссаров Максим Витальевич;6-18М615/2018;820464;№6</v>
      </c>
      <c r="F222" s="50" t="b">
        <f t="shared" si="7"/>
        <v>1</v>
      </c>
      <c r="G222" s="50">
        <f>IF($F222,COUNTIF($F$1:$F222,TRUE),"")</f>
        <v>222</v>
      </c>
      <c r="H222" s="50" t="str">
        <f>IFERROR(INDEX(NameStudent,MATCH(ROWS($H$1:$H222),Index,0)),"")</f>
        <v>Комиссаров Максим Витальевич;6-18М615/2018;820464;№6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149015</v>
      </c>
      <c r="B223" s="66" t="s">
        <v>328</v>
      </c>
      <c r="C223" s="63" t="s">
        <v>329</v>
      </c>
      <c r="D223" s="66" t="s">
        <v>55</v>
      </c>
      <c r="E223" s="50" t="str">
        <f t="shared" si="6"/>
        <v>Комлев Дмитрий Сергеевич;6-13А011 /2016;149015;№6</v>
      </c>
      <c r="F223" s="50" t="b">
        <f t="shared" si="7"/>
        <v>1</v>
      </c>
      <c r="G223" s="50">
        <f>IF($F223,COUNTIF($F$1:$F223,TRUE),"")</f>
        <v>223</v>
      </c>
      <c r="H223" s="50" t="str">
        <f>IFERROR(INDEX(NameStudent,MATCH(ROWS($H$1:$H223),Index,0)),"")</f>
        <v>Комлев Дмитрий Сергеевич;6-13А011 /2016;149015;№6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142790</v>
      </c>
      <c r="B224" s="66" t="s">
        <v>262</v>
      </c>
      <c r="C224" s="63" t="s">
        <v>263</v>
      </c>
      <c r="D224" s="66" t="s">
        <v>55</v>
      </c>
      <c r="E224" s="50" t="str">
        <f t="shared" si="6"/>
        <v>Комолов Глеб Дмитриевич;6-16Р113 /2016;142790;№6</v>
      </c>
      <c r="F224" s="50" t="b">
        <f t="shared" si="7"/>
        <v>1</v>
      </c>
      <c r="G224" s="50">
        <f>IF($F224,COUNTIF($F$1:$F224,TRUE),"")</f>
        <v>224</v>
      </c>
      <c r="H224" s="50" t="str">
        <f>IFERROR(INDEX(NameStudent,MATCH(ROWS($H$1:$H224),Index,0)),"")</f>
        <v>Комолов Глеб Дмитриевич;6-16Р113 /2016;142790;№6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789696</v>
      </c>
      <c r="B225" s="66" t="s">
        <v>574</v>
      </c>
      <c r="C225" s="63" t="s">
        <v>575</v>
      </c>
      <c r="D225" s="66" t="s">
        <v>55</v>
      </c>
      <c r="E225" s="50" t="str">
        <f t="shared" si="6"/>
        <v>Кондаков Максим Сергеевич;6-14Р070 /2017;789696;№6</v>
      </c>
      <c r="F225" s="50" t="b">
        <f t="shared" si="7"/>
        <v>1</v>
      </c>
      <c r="G225" s="50">
        <f>IF($F225,COUNTIF($F$1:$F225,TRUE),"")</f>
        <v>225</v>
      </c>
      <c r="H225" s="50" t="str">
        <f>IFERROR(INDEX(NameStudent,MATCH(ROWS($H$1:$H225),Index,0)),"")</f>
        <v>Кондаков Максим Сергеевич;6-14Р070 /2017;789696;№6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55">
        <v>817768</v>
      </c>
      <c r="B226" s="55" t="s">
        <v>907</v>
      </c>
      <c r="C226" s="58" t="s">
        <v>908</v>
      </c>
      <c r="D226" s="55" t="s">
        <v>55</v>
      </c>
      <c r="E226" s="50" t="str">
        <f t="shared" si="6"/>
        <v>Кондрюков Вадим Андреевич;6-18ММ067/2018;817768;№6</v>
      </c>
      <c r="F226" s="50" t="b">
        <f t="shared" si="7"/>
        <v>1</v>
      </c>
      <c r="G226" s="50">
        <f>IF($F226,COUNTIF($F$1:$F226,TRUE),"")</f>
        <v>226</v>
      </c>
      <c r="H226" s="50" t="str">
        <f>IFERROR(INDEX(NameStudent,MATCH(ROWS($H$1:$H226),Index,0)),"")</f>
        <v>Кондрюков Вадим Андреевич;6-18ММ067/2018;817768;№6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784861</v>
      </c>
      <c r="B227" s="66" t="s">
        <v>378</v>
      </c>
      <c r="C227" s="63" t="s">
        <v>379</v>
      </c>
      <c r="D227" s="66" t="s">
        <v>55</v>
      </c>
      <c r="E227" s="50" t="str">
        <f t="shared" si="6"/>
        <v>Коновалов Артём Евгеньевич;6-17Р003 /2017;784861;№6</v>
      </c>
      <c r="F227" s="50" t="b">
        <f t="shared" si="7"/>
        <v>1</v>
      </c>
      <c r="G227" s="50">
        <f>IF($F227,COUNTIF($F$1:$F227,TRUE),"")</f>
        <v>227</v>
      </c>
      <c r="H227" s="50" t="str">
        <f>IFERROR(INDEX(NameStudent,MATCH(ROWS($H$1:$H227),Index,0)),"")</f>
        <v>Коновалов Артём Евгеньевич;6-17Р003 /2017;784861;№6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55">
        <v>816854</v>
      </c>
      <c r="B228" s="55" t="s">
        <v>855</v>
      </c>
      <c r="C228" s="58" t="s">
        <v>856</v>
      </c>
      <c r="D228" s="55" t="s">
        <v>55</v>
      </c>
      <c r="E228" s="50" t="str">
        <f t="shared" si="6"/>
        <v>Константинова Анна Николаевна;6-18РМ077/2018;816854;№6</v>
      </c>
      <c r="F228" s="50" t="b">
        <f t="shared" si="7"/>
        <v>1</v>
      </c>
      <c r="G228" s="50">
        <f>IF($F228,COUNTIF($F$1:$F228,TRUE),"")</f>
        <v>228</v>
      </c>
      <c r="H228" s="50" t="str">
        <f>IFERROR(INDEX(NameStudent,MATCH(ROWS($H$1:$H228),Index,0)),"")</f>
        <v>Константинова Анна Николаевна;6-18РМ077/2018;816854;№6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784862</v>
      </c>
      <c r="B229" s="66" t="s">
        <v>380</v>
      </c>
      <c r="C229" s="63" t="s">
        <v>381</v>
      </c>
      <c r="D229" s="66" t="s">
        <v>55</v>
      </c>
      <c r="E229" s="50" t="str">
        <f t="shared" si="6"/>
        <v>Конюхов Никита Андреевич;6-17Р040 /2017;784862;№6</v>
      </c>
      <c r="F229" s="50" t="b">
        <f t="shared" si="7"/>
        <v>1</v>
      </c>
      <c r="G229" s="50">
        <f>IF($F229,COUNTIF($F$1:$F229,TRUE),"")</f>
        <v>229</v>
      </c>
      <c r="H229" s="50" t="str">
        <f>IFERROR(INDEX(NameStudent,MATCH(ROWS($H$1:$H229),Index,0)),"")</f>
        <v>Конюхов Никита Андреевич;6-17Р040 /2017;784862;№6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127874</v>
      </c>
      <c r="B230" s="66" t="s">
        <v>178</v>
      </c>
      <c r="C230" s="63" t="s">
        <v>179</v>
      </c>
      <c r="D230" s="66" t="s">
        <v>55</v>
      </c>
      <c r="E230" s="50" t="str">
        <f t="shared" si="6"/>
        <v>Кордубайло Анна Викторовна;6-15Р124 /2015;127874;№6</v>
      </c>
      <c r="F230" s="50" t="b">
        <f t="shared" si="7"/>
        <v>1</v>
      </c>
      <c r="G230" s="50">
        <f>IF($F230,COUNTIF($F$1:$F230,TRUE),"")</f>
        <v>230</v>
      </c>
      <c r="H230" s="50" t="str">
        <f>IFERROR(INDEX(NameStudent,MATCH(ROWS($H$1:$H230),Index,0)),"")</f>
        <v>Кордубайло Анна Викторовна;6-15Р124 /2015;127874;№6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65">
        <v>815037</v>
      </c>
      <c r="B231" s="66" t="s">
        <v>681</v>
      </c>
      <c r="C231" s="63" t="s">
        <v>682</v>
      </c>
      <c r="D231" s="66" t="s">
        <v>55</v>
      </c>
      <c r="E231" s="50" t="str">
        <f t="shared" si="6"/>
        <v>Кордюков Владислав Андреевич;6-18Р092/2018;815037;№6</v>
      </c>
      <c r="F231" s="50" t="b">
        <f t="shared" si="7"/>
        <v>1</v>
      </c>
      <c r="G231" s="50">
        <f>IF($F231,COUNTIF($F$1:$F231,TRUE),"")</f>
        <v>231</v>
      </c>
      <c r="H231" s="50" t="str">
        <f>IFERROR(INDEX(NameStudent,MATCH(ROWS($H$1:$H231),Index,0)),"")</f>
        <v>Кордюков Владислав Андреевич;6-18Р092/2018;815037;№6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130832</v>
      </c>
      <c r="B232" s="66" t="s">
        <v>184</v>
      </c>
      <c r="C232" s="63" t="s">
        <v>185</v>
      </c>
      <c r="D232" s="66" t="s">
        <v>55</v>
      </c>
      <c r="E232" s="50" t="str">
        <f t="shared" si="6"/>
        <v>Корлякова Полина Андреевна;6-14Р166 /2015;130832;№6</v>
      </c>
      <c r="F232" s="50" t="b">
        <f t="shared" si="7"/>
        <v>1</v>
      </c>
      <c r="G232" s="50">
        <f>IF($F232,COUNTIF($F$1:$F232,TRUE),"")</f>
        <v>232</v>
      </c>
      <c r="H232" s="50" t="str">
        <f>IFERROR(INDEX(NameStudent,MATCH(ROWS($H$1:$H232),Index,0)),"")</f>
        <v>Корлякова Полина Андреевна;6-14Р166 /2015;130832;№6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127727</v>
      </c>
      <c r="B233" s="66" t="s">
        <v>108</v>
      </c>
      <c r="C233" s="63" t="s">
        <v>109</v>
      </c>
      <c r="D233" s="66" t="s">
        <v>55</v>
      </c>
      <c r="E233" s="50" t="str">
        <f t="shared" si="6"/>
        <v>Короленко Евгений Михайлович;6-15Р125 /2015;127727;№6</v>
      </c>
      <c r="F233" s="50" t="b">
        <f t="shared" si="7"/>
        <v>1</v>
      </c>
      <c r="G233" s="50">
        <f>IF($F233,COUNTIF($F$1:$F233,TRUE),"")</f>
        <v>233</v>
      </c>
      <c r="H233" s="50" t="str">
        <f>IFERROR(INDEX(NameStudent,MATCH(ROWS($H$1:$H233),Index,0)),"")</f>
        <v>Короленко Евгений Михайлович;6-15Р125 /2015;127727;№6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55">
        <v>816817</v>
      </c>
      <c r="B234" s="55" t="s">
        <v>831</v>
      </c>
      <c r="C234" s="58" t="s">
        <v>832</v>
      </c>
      <c r="D234" s="55" t="s">
        <v>55</v>
      </c>
      <c r="E234" s="50" t="str">
        <f t="shared" si="6"/>
        <v>Коршунов Алексей Александрович;6-14М275/2018;816817;№6</v>
      </c>
      <c r="F234" s="50" t="b">
        <f t="shared" si="7"/>
        <v>1</v>
      </c>
      <c r="G234" s="50">
        <f>IF($F234,COUNTIF($F$1:$F234,TRUE),"")</f>
        <v>234</v>
      </c>
      <c r="H234" s="50" t="str">
        <f>IFERROR(INDEX(NameStudent,MATCH(ROWS($H$1:$H234),Index,0)),"")</f>
        <v>Коршунов Алексей Александрович;6-14М275/2018;816817;№6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142786</v>
      </c>
      <c r="B235" s="66" t="s">
        <v>256</v>
      </c>
      <c r="C235" s="63" t="s">
        <v>257</v>
      </c>
      <c r="D235" s="66" t="s">
        <v>55</v>
      </c>
      <c r="E235" s="50" t="str">
        <f t="shared" si="6"/>
        <v>Косовский Дмитрий Васильевич;6-16Р166 /2016;142786;№6</v>
      </c>
      <c r="F235" s="50" t="b">
        <f t="shared" si="7"/>
        <v>1</v>
      </c>
      <c r="G235" s="50">
        <f>IF($F235,COUNTIF($F$1:$F235,TRUE),"")</f>
        <v>235</v>
      </c>
      <c r="H235" s="50" t="str">
        <f>IFERROR(INDEX(NameStudent,MATCH(ROWS($H$1:$H235),Index,0)),"")</f>
        <v>Косовский Дмитрий Васильевич;6-16Р166 /2016;142786;№6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815041</v>
      </c>
      <c r="B236" s="66" t="s">
        <v>683</v>
      </c>
      <c r="C236" s="63" t="s">
        <v>684</v>
      </c>
      <c r="D236" s="66" t="s">
        <v>55</v>
      </c>
      <c r="E236" s="50" t="str">
        <f t="shared" si="6"/>
        <v>Кострикин Дмитрий Геннадьевич;6-18Р093/2018;815041;№6</v>
      </c>
      <c r="F236" s="50" t="b">
        <f t="shared" si="7"/>
        <v>1</v>
      </c>
      <c r="G236" s="50">
        <f>IF($F236,COUNTIF($F$1:$F236,TRUE),"")</f>
        <v>236</v>
      </c>
      <c r="H236" s="50" t="str">
        <f>IFERROR(INDEX(NameStudent,MATCH(ROWS($H$1:$H236),Index,0)),"")</f>
        <v>Кострикин Дмитрий Геннадьевич;6-18Р093/2018;815041;№6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65">
        <v>815043</v>
      </c>
      <c r="B237" s="66" t="s">
        <v>685</v>
      </c>
      <c r="C237" s="63" t="s">
        <v>686</v>
      </c>
      <c r="D237" s="66" t="s">
        <v>55</v>
      </c>
      <c r="E237" s="50" t="str">
        <f t="shared" si="6"/>
        <v>Кочергин Георгий Иванович;6-18Р094/2018;815043;№6</v>
      </c>
      <c r="F237" s="50" t="b">
        <f t="shared" si="7"/>
        <v>1</v>
      </c>
      <c r="G237" s="50">
        <f>IF($F237,COUNTIF($F$1:$F237,TRUE),"")</f>
        <v>237</v>
      </c>
      <c r="H237" s="50" t="str">
        <f>IFERROR(INDEX(NameStudent,MATCH(ROWS($H$1:$H237),Index,0)),"")</f>
        <v>Кочергин Георгий Иванович;6-18Р094/2018;815043;№6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142787</v>
      </c>
      <c r="B238" s="66" t="s">
        <v>258</v>
      </c>
      <c r="C238" s="63" t="s">
        <v>259</v>
      </c>
      <c r="D238" s="66" t="s">
        <v>55</v>
      </c>
      <c r="E238" s="50" t="str">
        <f t="shared" si="6"/>
        <v>Кочетков Глеб Олегович;6-16Р183 /2016;142787;№6</v>
      </c>
      <c r="F238" s="50" t="b">
        <f t="shared" si="7"/>
        <v>1</v>
      </c>
      <c r="G238" s="50">
        <f>IF($F238,COUNTIF($F$1:$F238,TRUE),"")</f>
        <v>238</v>
      </c>
      <c r="H238" s="50" t="str">
        <f>IFERROR(INDEX(NameStudent,MATCH(ROWS($H$1:$H238),Index,0)),"")</f>
        <v>Кочетков Глеб Олегович;6-16Р183 /2016;142787;№6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816851</v>
      </c>
      <c r="B239" s="66" t="s">
        <v>1101</v>
      </c>
      <c r="C239" s="63" t="s">
        <v>1102</v>
      </c>
      <c r="D239" s="66" t="s">
        <v>55</v>
      </c>
      <c r="E239" s="50" t="str">
        <f t="shared" si="6"/>
        <v>Кравцов Александр Алесандрович;6-18РМ090/2018;816851;№6</v>
      </c>
      <c r="F239" s="50" t="b">
        <f t="shared" si="7"/>
        <v>1</v>
      </c>
      <c r="G239" s="50">
        <f>IF($F239,COUNTIF($F$1:$F239,TRUE),"")</f>
        <v>239</v>
      </c>
      <c r="H239" s="50" t="str">
        <f>IFERROR(INDEX(NameStudent,MATCH(ROWS($H$1:$H239),Index,0)),"")</f>
        <v>Кравцов Александр Алесандрович;6-18РМ090/2018;816851;№6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127721</v>
      </c>
      <c r="B240" s="66" t="s">
        <v>104</v>
      </c>
      <c r="C240" s="63" t="s">
        <v>105</v>
      </c>
      <c r="D240" s="66" t="s">
        <v>55</v>
      </c>
      <c r="E240" s="50" t="str">
        <f t="shared" si="6"/>
        <v>Кравцов Максим Андреевич;6-15Р042 /2015;127721;№6</v>
      </c>
      <c r="F240" s="50" t="b">
        <f t="shared" si="7"/>
        <v>1</v>
      </c>
      <c r="G240" s="50">
        <f>IF($F240,COUNTIF($F$1:$F240,TRUE),"")</f>
        <v>240</v>
      </c>
      <c r="H240" s="50" t="str">
        <f>IFERROR(INDEX(NameStudent,MATCH(ROWS($H$1:$H240),Index,0)),"")</f>
        <v>Кравцов Максим Андреевич;6-15Р042 /2015;127721;№6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65">
        <v>785399</v>
      </c>
      <c r="B241" s="66" t="s">
        <v>504</v>
      </c>
      <c r="C241" s="63" t="s">
        <v>505</v>
      </c>
      <c r="D241" s="66" t="s">
        <v>55</v>
      </c>
      <c r="E241" s="50" t="str">
        <f t="shared" si="6"/>
        <v>Кравцова Виктория Олеговна;6-13М157 /2017;785399;№6</v>
      </c>
      <c r="F241" s="50" t="b">
        <f t="shared" si="7"/>
        <v>1</v>
      </c>
      <c r="G241" s="50">
        <f>IF($F241,COUNTIF($F$1:$F241,TRUE),"")</f>
        <v>241</v>
      </c>
      <c r="H241" s="50" t="str">
        <f>IFERROR(INDEX(NameStudent,MATCH(ROWS($H$1:$H241),Index,0)),"")</f>
        <v>Кравцова Виктория Олеговна;6-13М157 /2017;785399;№6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65">
        <v>815045</v>
      </c>
      <c r="B242" s="66" t="s">
        <v>687</v>
      </c>
      <c r="C242" s="63" t="s">
        <v>688</v>
      </c>
      <c r="D242" s="66" t="s">
        <v>55</v>
      </c>
      <c r="E242" s="50" t="str">
        <f t="shared" si="6"/>
        <v>Кравченко Игорь Николаевич;6-18Р095/2018;815045;№6</v>
      </c>
      <c r="F242" s="50" t="b">
        <f t="shared" si="7"/>
        <v>1</v>
      </c>
      <c r="G242" s="50">
        <f>IF($F242,COUNTIF($F$1:$F242,TRUE),"")</f>
        <v>242</v>
      </c>
      <c r="H242" s="50" t="str">
        <f>IFERROR(INDEX(NameStudent,MATCH(ROWS($H$1:$H242),Index,0)),"")</f>
        <v>Кравченко Игорь Николаевич;6-18Р095/2018;815045;№6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55">
        <v>817754</v>
      </c>
      <c r="B243" s="55" t="s">
        <v>893</v>
      </c>
      <c r="C243" s="58" t="s">
        <v>894</v>
      </c>
      <c r="D243" s="55" t="s">
        <v>55</v>
      </c>
      <c r="E243" s="50" t="str">
        <f t="shared" si="6"/>
        <v>Кравчук Илья Русланович;6-18ММ072/2018;817754;№6</v>
      </c>
      <c r="F243" s="50" t="b">
        <f t="shared" si="7"/>
        <v>1</v>
      </c>
      <c r="G243" s="50">
        <f>IF($F243,COUNTIF($F$1:$F243,TRUE),"")</f>
        <v>243</v>
      </c>
      <c r="H243" s="50" t="str">
        <f>IFERROR(INDEX(NameStudent,MATCH(ROWS($H$1:$H243),Index,0)),"")</f>
        <v>Кравчук Илья Русланович;6-18ММ072/2018;817754;№6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820306</v>
      </c>
      <c r="B244" s="66" t="s">
        <v>1105</v>
      </c>
      <c r="C244" s="63" t="s">
        <v>1106</v>
      </c>
      <c r="D244" s="66" t="s">
        <v>55</v>
      </c>
      <c r="E244" s="50" t="str">
        <f t="shared" si="6"/>
        <v>Красников Александр ;6-16Р164/2018;820306;№6</v>
      </c>
      <c r="F244" s="50" t="b">
        <f t="shared" si="7"/>
        <v>1</v>
      </c>
      <c r="G244" s="50">
        <f>IF($F244,COUNTIF($F$1:$F244,TRUE),"")</f>
        <v>244</v>
      </c>
      <c r="H244" s="50" t="str">
        <f>IFERROR(INDEX(NameStudent,MATCH(ROWS($H$1:$H244),Index,0)),"")</f>
        <v>Красников Александр ;6-16Р164/2018;820306;№6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65">
        <v>785412</v>
      </c>
      <c r="B245" s="66" t="s">
        <v>514</v>
      </c>
      <c r="C245" s="63" t="s">
        <v>515</v>
      </c>
      <c r="D245" s="66" t="s">
        <v>55</v>
      </c>
      <c r="E245" s="50" t="str">
        <f t="shared" si="6"/>
        <v>Кривченков Дмитрий Павлович;6-15М154 /2017;785412;№6</v>
      </c>
      <c r="F245" s="50" t="b">
        <f t="shared" si="7"/>
        <v>1</v>
      </c>
      <c r="G245" s="50">
        <f>IF($F245,COUNTIF($F$1:$F245,TRUE),"")</f>
        <v>245</v>
      </c>
      <c r="H245" s="50" t="str">
        <f>IFERROR(INDEX(NameStudent,MATCH(ROWS($H$1:$H245),Index,0)),"")</f>
        <v>Кривченков Дмитрий Павлович;6-15М154 /2017;785412;№6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65">
        <v>815048</v>
      </c>
      <c r="B246" s="66" t="s">
        <v>689</v>
      </c>
      <c r="C246" s="63" t="s">
        <v>690</v>
      </c>
      <c r="D246" s="66" t="s">
        <v>55</v>
      </c>
      <c r="E246" s="50" t="str">
        <f t="shared" si="6"/>
        <v>Кропотов Андрей Александрович;6-18Р061/2018;815048;№6</v>
      </c>
      <c r="F246" s="50" t="b">
        <f t="shared" si="7"/>
        <v>1</v>
      </c>
      <c r="G246" s="50">
        <f>IF($F246,COUNTIF($F$1:$F246,TRUE),"")</f>
        <v>246</v>
      </c>
      <c r="H246" s="50" t="str">
        <f>IFERROR(INDEX(NameStudent,MATCH(ROWS($H$1:$H246),Index,0)),"")</f>
        <v>Кропотов Андрей Александрович;6-18Р061/2018;815048;№6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65">
        <v>142792</v>
      </c>
      <c r="B247" s="66" t="s">
        <v>264</v>
      </c>
      <c r="C247" s="63" t="s">
        <v>265</v>
      </c>
      <c r="D247" s="66" t="s">
        <v>55</v>
      </c>
      <c r="E247" s="50" t="str">
        <f t="shared" si="6"/>
        <v>Кругликов Денис Валерьевич;6-16Р039 /2016;142792;№6</v>
      </c>
      <c r="F247" s="50" t="b">
        <f t="shared" si="7"/>
        <v>1</v>
      </c>
      <c r="G247" s="50">
        <f>IF($F247,COUNTIF($F$1:$F247,TRUE),"")</f>
        <v>247</v>
      </c>
      <c r="H247" s="50" t="str">
        <f>IFERROR(INDEX(NameStudent,MATCH(ROWS($H$1:$H247),Index,0)),"")</f>
        <v>Кругликов Денис Валерьевич;6-16Р039 /2016;142792;№6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127717</v>
      </c>
      <c r="B248" s="66" t="s">
        <v>102</v>
      </c>
      <c r="C248" s="63" t="s">
        <v>103</v>
      </c>
      <c r="D248" s="66" t="s">
        <v>55</v>
      </c>
      <c r="E248" s="50" t="str">
        <f t="shared" si="6"/>
        <v>Крылов Андрей Владиславович;6-15Р127 /2015;127717;№6</v>
      </c>
      <c r="F248" s="50" t="b">
        <f t="shared" si="7"/>
        <v>1</v>
      </c>
      <c r="G248" s="50">
        <f>IF($F248,COUNTIF($F$1:$F248,TRUE),"")</f>
        <v>248</v>
      </c>
      <c r="H248" s="50" t="str">
        <f>IFERROR(INDEX(NameStudent,MATCH(ROWS($H$1:$H248),Index,0)),"")</f>
        <v>Крылов Андрей Владиславович;6-15Р127 /2015;127717;№6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827196</v>
      </c>
      <c r="B249" s="55" t="s">
        <v>965</v>
      </c>
      <c r="C249" s="58" t="s">
        <v>966</v>
      </c>
      <c r="D249" s="55" t="s">
        <v>55</v>
      </c>
      <c r="E249" s="50" t="str">
        <f t="shared" si="6"/>
        <v>Кузминский Андрей Игоревич;6-16Р115/2019;827196;№6</v>
      </c>
      <c r="F249" s="50" t="b">
        <f t="shared" si="7"/>
        <v>1</v>
      </c>
      <c r="G249" s="50">
        <f>IF($F249,COUNTIF($F$1:$F249,TRUE),"")</f>
        <v>249</v>
      </c>
      <c r="H249" s="50" t="str">
        <f>IFERROR(INDEX(NameStudent,MATCH(ROWS($H$1:$H249),Index,0)),"")</f>
        <v>Кузминский Андрей Игоревич;6-16Р115/2019;827196;№6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113526</v>
      </c>
      <c r="B250" s="66" t="s">
        <v>62</v>
      </c>
      <c r="C250" s="63" t="s">
        <v>63</v>
      </c>
      <c r="D250" s="66" t="s">
        <v>55</v>
      </c>
      <c r="E250" s="50" t="str">
        <f t="shared" si="6"/>
        <v>Кузнецов Артем Дмитриевич;6-14Р115/2014;113526;№6</v>
      </c>
      <c r="F250" s="50" t="b">
        <f t="shared" si="7"/>
        <v>1</v>
      </c>
      <c r="G250" s="50">
        <f>IF($F250,COUNTIF($F$1:$F250,TRUE),"")</f>
        <v>250</v>
      </c>
      <c r="H250" s="50" t="str">
        <f>IFERROR(INDEX(NameStudent,MATCH(ROWS($H$1:$H250),Index,0)),"")</f>
        <v>Кузнецов Артем Дмитриевич;6-14Р115/2014;113526;№6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817370</v>
      </c>
      <c r="B251" s="66" t="s">
        <v>1007</v>
      </c>
      <c r="C251" s="63" t="s">
        <v>1008</v>
      </c>
      <c r="D251" s="66" t="s">
        <v>55</v>
      </c>
      <c r="E251" s="50" t="str">
        <f t="shared" si="6"/>
        <v>Кузнецов Дмитрий Сергеевич;6-18Р225/18;817370;№6</v>
      </c>
      <c r="F251" s="50" t="b">
        <f t="shared" si="7"/>
        <v>1</v>
      </c>
      <c r="G251" s="50">
        <f>IF($F251,COUNTIF($F$1:$F251,TRUE),"")</f>
        <v>251</v>
      </c>
      <c r="H251" s="50" t="str">
        <f>IFERROR(INDEX(NameStudent,MATCH(ROWS($H$1:$H251),Index,0)),"")</f>
        <v>Кузнецов Дмитрий Сергеевич;6-18Р225/18;817370;№6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65">
        <v>785067</v>
      </c>
      <c r="B252" s="66" t="s">
        <v>462</v>
      </c>
      <c r="C252" s="63" t="s">
        <v>463</v>
      </c>
      <c r="D252" s="66" t="s">
        <v>55</v>
      </c>
      <c r="E252" s="50" t="str">
        <f t="shared" si="6"/>
        <v>Кузнецов Максим Андреевич;6-17Р187 /2017;785067;№6</v>
      </c>
      <c r="F252" s="50" t="b">
        <f t="shared" si="7"/>
        <v>1</v>
      </c>
      <c r="G252" s="50">
        <f>IF($F252,COUNTIF($F$1:$F252,TRUE),"")</f>
        <v>252</v>
      </c>
      <c r="H252" s="50" t="str">
        <f>IFERROR(INDEX(NameStudent,MATCH(ROWS($H$1:$H252),Index,0)),"")</f>
        <v>Кузнецов Максим Андреевич;6-17Р187 /2017;785067;№6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815054</v>
      </c>
      <c r="B253" s="66" t="s">
        <v>691</v>
      </c>
      <c r="C253" s="63" t="s">
        <v>692</v>
      </c>
      <c r="D253" s="66" t="s">
        <v>55</v>
      </c>
      <c r="E253" s="50" t="str">
        <f t="shared" si="6"/>
        <v>Кузнецов Матвей Андреевич;6-18Р062/2018;815054;№6</v>
      </c>
      <c r="F253" s="50" t="b">
        <f t="shared" si="7"/>
        <v>1</v>
      </c>
      <c r="G253" s="50">
        <f>IF($F253,COUNTIF($F$1:$F253,TRUE),"")</f>
        <v>253</v>
      </c>
      <c r="H253" s="50" t="str">
        <f>IFERROR(INDEX(NameStudent,MATCH(ROWS($H$1:$H253),Index,0)),"")</f>
        <v>Кузнецов Матвей Андреевич;6-18Р062/2018;815054;№6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55">
        <v>816819</v>
      </c>
      <c r="B254" s="55" t="s">
        <v>833</v>
      </c>
      <c r="C254" s="58" t="s">
        <v>834</v>
      </c>
      <c r="D254" s="55" t="s">
        <v>55</v>
      </c>
      <c r="E254" s="50" t="str">
        <f t="shared" si="6"/>
        <v>Кузьмин Александр Владимирович;6-14Р117/2018;816819;№6</v>
      </c>
      <c r="F254" s="50" t="b">
        <f t="shared" si="7"/>
        <v>1</v>
      </c>
      <c r="G254" s="50">
        <f>IF($F254,COUNTIF($F$1:$F254,TRUE),"")</f>
        <v>254</v>
      </c>
      <c r="H254" s="50" t="str">
        <f>IFERROR(INDEX(NameStudent,MATCH(ROWS($H$1:$H254),Index,0)),"")</f>
        <v>Кузьмин Александр Владимирович;6-14Р117/2018;816819;№6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821837</v>
      </c>
      <c r="B255" s="55" t="s">
        <v>935</v>
      </c>
      <c r="C255" s="58" t="s">
        <v>936</v>
      </c>
      <c r="D255" s="55" t="s">
        <v>55</v>
      </c>
      <c r="E255" s="50" t="str">
        <f t="shared" si="6"/>
        <v>Кульпина Анастасия Сергеевна;6-17М343/2018;821837;№6</v>
      </c>
      <c r="F255" s="50" t="b">
        <f t="shared" si="7"/>
        <v>1</v>
      </c>
      <c r="G255" s="50">
        <f>IF($F255,COUNTIF($F$1:$F255,TRUE),"")</f>
        <v>255</v>
      </c>
      <c r="H255" s="50" t="str">
        <f>IFERROR(INDEX(NameStudent,MATCH(ROWS($H$1:$H255),Index,0)),"")</f>
        <v>Кульпина Анастасия Сергеевна;6-17М343/2018;821837;№6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65">
        <v>815066</v>
      </c>
      <c r="B256" s="66" t="s">
        <v>693</v>
      </c>
      <c r="C256" s="63" t="s">
        <v>694</v>
      </c>
      <c r="D256" s="66" t="s">
        <v>55</v>
      </c>
      <c r="E256" s="50" t="str">
        <f t="shared" si="6"/>
        <v>Купреев Валентин Сергеевич;6-18Р063/2018;815066;№6</v>
      </c>
      <c r="F256" s="50" t="b">
        <f t="shared" si="7"/>
        <v>1</v>
      </c>
      <c r="G256" s="50">
        <f>IF($F256,COUNTIF($F$1:$F256,TRUE),"")</f>
        <v>256</v>
      </c>
      <c r="H256" s="50" t="str">
        <f>IFERROR(INDEX(NameStudent,MATCH(ROWS($H$1:$H256),Index,0)),"")</f>
        <v>Купреев Валентин Сергеевич;6-18Р063/2018;815066;№6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149002</v>
      </c>
      <c r="B257" s="66" t="s">
        <v>322</v>
      </c>
      <c r="C257" s="63" t="s">
        <v>323</v>
      </c>
      <c r="D257" s="66" t="s">
        <v>55</v>
      </c>
      <c r="E257" s="50" t="str">
        <f t="shared" ref="E257:E320" si="8">LEFT(C257,IF(ISERROR(FIND(":",C257))=TRUE,LEN(C257),FIND(":",C257)-1)) &amp; ";" &amp; B257 &amp; ";" &amp; A257 &amp; ";" &amp;D257</f>
        <v>Курныков Александр Романович;6-15Р398 /2016;149002;№6</v>
      </c>
      <c r="F257" s="50" t="b">
        <f t="shared" ref="F257:F320" si="9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Курныков Александр Романович;6-15Р398 /2016;149002;№6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815070</v>
      </c>
      <c r="B258" s="55" t="s">
        <v>695</v>
      </c>
      <c r="C258" s="58" t="s">
        <v>696</v>
      </c>
      <c r="D258" s="55" t="s">
        <v>55</v>
      </c>
      <c r="E258" s="50" t="str">
        <f t="shared" si="8"/>
        <v>Кутузов Никита Александрович;6-18Р191/2018;815070;№6</v>
      </c>
      <c r="F258" s="50" t="b">
        <f t="shared" si="9"/>
        <v>1</v>
      </c>
      <c r="G258" s="50">
        <f>IF($F258,COUNTIF($F$1:$F258,TRUE),"")</f>
        <v>258</v>
      </c>
      <c r="H258" s="50" t="str">
        <f>IFERROR(INDEX(NameStudent,MATCH(ROWS($H$1:$H258),Index,0)),"")</f>
        <v>Кутузов Никита Александрович;6-18Р191/2018;815070;№6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815076</v>
      </c>
      <c r="B259" s="55" t="s">
        <v>697</v>
      </c>
      <c r="C259" s="58" t="s">
        <v>698</v>
      </c>
      <c r="D259" s="55" t="s">
        <v>55</v>
      </c>
      <c r="E259" s="50" t="str">
        <f t="shared" si="8"/>
        <v>Кучкурда Юлия Дмитриевна;6-18Р192/2018;815076;№6</v>
      </c>
      <c r="F259" s="50" t="b">
        <f t="shared" si="9"/>
        <v>1</v>
      </c>
      <c r="G259" s="50">
        <f>IF($F259,COUNTIF($F$1:$F259,TRUE),"")</f>
        <v>259</v>
      </c>
      <c r="H259" s="50" t="str">
        <f>IFERROR(INDEX(NameStudent,MATCH(ROWS($H$1:$H259),Index,0)),"")</f>
        <v>Кучкурда Юлия Дмитриевна;6-18Р192/2018;815076;№6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828077</v>
      </c>
      <c r="B260" s="55" t="s">
        <v>977</v>
      </c>
      <c r="C260" s="58" t="s">
        <v>978</v>
      </c>
      <c r="D260" s="55" t="s">
        <v>55</v>
      </c>
      <c r="E260" s="50" t="str">
        <f t="shared" si="8"/>
        <v>Кучуков Артур Вадимович;6-16М732/2019;828077;№6</v>
      </c>
      <c r="F260" s="50" t="b">
        <f t="shared" si="9"/>
        <v>1</v>
      </c>
      <c r="G260" s="50">
        <f>IF($F260,COUNTIF($F$1:$F260,TRUE),"")</f>
        <v>260</v>
      </c>
      <c r="H260" s="50" t="str">
        <f>IFERROR(INDEX(NameStudent,MATCH(ROWS($H$1:$H260),Index,0)),"")</f>
        <v>Кучуков Артур Вадимович;6-16М732/2019;828077;№6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816821</v>
      </c>
      <c r="B261" s="66" t="s">
        <v>1099</v>
      </c>
      <c r="C261" s="63" t="s">
        <v>1100</v>
      </c>
      <c r="D261" s="66" t="s">
        <v>55</v>
      </c>
      <c r="E261" s="50" t="str">
        <f t="shared" si="8"/>
        <v>Кынин Александр Михайлович;6-16М598/2018;816821;№6</v>
      </c>
      <c r="F261" s="50" t="b">
        <f t="shared" si="9"/>
        <v>1</v>
      </c>
      <c r="G261" s="50">
        <f>IF($F261,COUNTIF($F$1:$F261,TRUE),"")</f>
        <v>261</v>
      </c>
      <c r="H261" s="50" t="str">
        <f>IFERROR(INDEX(NameStudent,MATCH(ROWS($H$1:$H261),Index,0)),"")</f>
        <v>Кынин Александр Михайлович;6-16М598/2018;816821;№6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55">
        <v>815080</v>
      </c>
      <c r="B262" s="55" t="s">
        <v>699</v>
      </c>
      <c r="C262" s="58" t="s">
        <v>700</v>
      </c>
      <c r="D262" s="55" t="s">
        <v>55</v>
      </c>
      <c r="E262" s="50" t="str">
        <f t="shared" si="8"/>
        <v>Кязымов Андрей Олегович;6-18Р019/2018;815080;№6</v>
      </c>
      <c r="F262" s="50" t="b">
        <f t="shared" si="9"/>
        <v>1</v>
      </c>
      <c r="G262" s="50">
        <f>IF($F262,COUNTIF($F$1:$F262,TRUE),"")</f>
        <v>262</v>
      </c>
      <c r="H262" s="50" t="str">
        <f>IFERROR(INDEX(NameStudent,MATCH(ROWS($H$1:$H262),Index,0)),"")</f>
        <v>Кязымов Андрей Олегович;6-18Р019/2018;815080;№6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821403</v>
      </c>
      <c r="B263" s="66" t="s">
        <v>1193</v>
      </c>
      <c r="C263" s="63" t="s">
        <v>1194</v>
      </c>
      <c r="D263" s="66" t="s">
        <v>55</v>
      </c>
      <c r="E263" s="50" t="str">
        <f t="shared" si="8"/>
        <v>Лазич Боян  ;6-17ИМ67/2018;821403;№6</v>
      </c>
      <c r="F263" s="50" t="b">
        <f t="shared" si="9"/>
        <v>1</v>
      </c>
      <c r="G263" s="50">
        <f>IF($F263,COUNTIF($F$1:$F263,TRUE),"")</f>
        <v>263</v>
      </c>
      <c r="H263" s="50" t="str">
        <f>IFERROR(INDEX(NameStudent,MATCH(ROWS($H$1:$H263),Index,0)),"")</f>
        <v>Лазич Боян  ;6-17ИМ67/2018;821403;№6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820320</v>
      </c>
      <c r="B264" s="66" t="s">
        <v>1109</v>
      </c>
      <c r="C264" s="63" t="s">
        <v>1110</v>
      </c>
      <c r="D264" s="66" t="s">
        <v>55</v>
      </c>
      <c r="E264" s="50" t="str">
        <f t="shared" si="8"/>
        <v>Ламош Патрик  ;6-17ИМ72/2018;820320;№6</v>
      </c>
      <c r="F264" s="50" t="b">
        <f t="shared" si="9"/>
        <v>1</v>
      </c>
      <c r="G264" s="50">
        <f>IF($F264,COUNTIF($F$1:$F264,TRUE),"")</f>
        <v>264</v>
      </c>
      <c r="H264" s="50" t="str">
        <f>IFERROR(INDEX(NameStudent,MATCH(ROWS($H$1:$H264),Index,0)),"")</f>
        <v>Ламош Патрик  ;6-17ИМ72/2018;820320;№6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817756</v>
      </c>
      <c r="B265" s="55" t="s">
        <v>895</v>
      </c>
      <c r="C265" s="58" t="s">
        <v>896</v>
      </c>
      <c r="D265" s="55" t="s">
        <v>55</v>
      </c>
      <c r="E265" s="50" t="str">
        <f t="shared" si="8"/>
        <v>Лампежев Абас Хасанович;6-14М039/2018;817756;№6</v>
      </c>
      <c r="F265" s="50" t="b">
        <f t="shared" si="9"/>
        <v>1</v>
      </c>
      <c r="G265" s="50">
        <f>IF($F265,COUNTIF($F$1:$F265,TRUE),"")</f>
        <v>265</v>
      </c>
      <c r="H265" s="50" t="str">
        <f>IFERROR(INDEX(NameStudent,MATCH(ROWS($H$1:$H265),Index,0)),"")</f>
        <v>Лампежев Абас Хасанович;6-14М039/2018;817756;№6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785072</v>
      </c>
      <c r="B266" s="66" t="s">
        <v>464</v>
      </c>
      <c r="C266" s="63" t="s">
        <v>465</v>
      </c>
      <c r="D266" s="66" t="s">
        <v>55</v>
      </c>
      <c r="E266" s="50" t="str">
        <f t="shared" si="8"/>
        <v>Латыпов Артур Альмирович;6-17Р188 /2017;785072;№6</v>
      </c>
      <c r="F266" s="50" t="b">
        <f t="shared" si="9"/>
        <v>1</v>
      </c>
      <c r="G266" s="50">
        <f>IF($F266,COUNTIF($F$1:$F266,TRUE),"")</f>
        <v>266</v>
      </c>
      <c r="H266" s="50" t="str">
        <f>IFERROR(INDEX(NameStudent,MATCH(ROWS($H$1:$H266),Index,0)),"")</f>
        <v>Латыпов Артур Альмирович;6-17Р188 /2017;785072;№6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820467</v>
      </c>
      <c r="B267" s="66" t="s">
        <v>1141</v>
      </c>
      <c r="C267" s="63" t="s">
        <v>1142</v>
      </c>
      <c r="D267" s="66" t="s">
        <v>55</v>
      </c>
      <c r="E267" s="50" t="str">
        <f t="shared" si="8"/>
        <v>Ле Хоанг Тиен  ;6-18ИМ21/2018;820467;№6</v>
      </c>
      <c r="F267" s="50" t="b">
        <f t="shared" si="9"/>
        <v>1</v>
      </c>
      <c r="G267" s="50">
        <f>IF($F267,COUNTIF($F$1:$F267,TRUE),"")</f>
        <v>267</v>
      </c>
      <c r="H267" s="50" t="str">
        <f>IFERROR(INDEX(NameStudent,MATCH(ROWS($H$1:$H267),Index,0)),"")</f>
        <v>Ле Хоанг Тиен  ;6-18ИМ21/2018;820467;№6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815086</v>
      </c>
      <c r="B268" s="55" t="s">
        <v>701</v>
      </c>
      <c r="C268" s="58" t="s">
        <v>702</v>
      </c>
      <c r="D268" s="55" t="s">
        <v>55</v>
      </c>
      <c r="E268" s="50" t="str">
        <f t="shared" si="8"/>
        <v>Лебедев Игорь Сергеевич;6-18Р064/2018;815086;№6</v>
      </c>
      <c r="F268" s="50" t="b">
        <f t="shared" si="9"/>
        <v>1</v>
      </c>
      <c r="G268" s="50">
        <f>IF($F268,COUNTIF($F$1:$F268,TRUE),"")</f>
        <v>268</v>
      </c>
      <c r="H268" s="50" t="str">
        <f>IFERROR(INDEX(NameStudent,MATCH(ROWS($H$1:$H268),Index,0)),"")</f>
        <v>Лебедев Игорь Сергеевич;6-18Р064/2018;815086;№6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55">
        <v>827187</v>
      </c>
      <c r="B269" s="55" t="s">
        <v>959</v>
      </c>
      <c r="C269" s="58" t="s">
        <v>960</v>
      </c>
      <c r="D269" s="55" t="s">
        <v>55</v>
      </c>
      <c r="E269" s="50" t="str">
        <f t="shared" si="8"/>
        <v>Левда Иван Викторович;6-17Р119/2019;827187;№6</v>
      </c>
      <c r="F269" s="50" t="b">
        <f t="shared" si="9"/>
        <v>1</v>
      </c>
      <c r="G269" s="50">
        <f>IF($F269,COUNTIF($F$1:$F269,TRUE),"")</f>
        <v>269</v>
      </c>
      <c r="H269" s="50" t="str">
        <f>IFERROR(INDEX(NameStudent,MATCH(ROWS($H$1:$H269),Index,0)),"")</f>
        <v>Левда Иван Викторович;6-17Р119/2019;827187;№6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788200</v>
      </c>
      <c r="B270" s="66" t="s">
        <v>554</v>
      </c>
      <c r="C270" s="63" t="s">
        <v>555</v>
      </c>
      <c r="D270" s="66" t="s">
        <v>55</v>
      </c>
      <c r="E270" s="50" t="str">
        <f t="shared" si="8"/>
        <v>Леджиева Алина Сергеевна;6-17Ю013 /2017;788200;№6</v>
      </c>
      <c r="F270" s="50" t="b">
        <f t="shared" si="9"/>
        <v>1</v>
      </c>
      <c r="G270" s="50">
        <f>IF($F270,COUNTIF($F$1:$F270,TRUE),"")</f>
        <v>270</v>
      </c>
      <c r="H270" s="50" t="str">
        <f>IFERROR(INDEX(NameStudent,MATCH(ROWS($H$1:$H270),Index,0)),"")</f>
        <v>Леджиева Алина Сергеевна;6-17Ю013 /2017;788200;№6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821694</v>
      </c>
      <c r="B271" s="55" t="s">
        <v>933</v>
      </c>
      <c r="C271" s="58" t="s">
        <v>934</v>
      </c>
      <c r="D271" s="55" t="s">
        <v>55</v>
      </c>
      <c r="E271" s="50" t="str">
        <f t="shared" si="8"/>
        <v>Леонтьев Илья Алексеевич;6-18М110/18;821694;№6</v>
      </c>
      <c r="F271" s="50" t="b">
        <f t="shared" si="9"/>
        <v>1</v>
      </c>
      <c r="G271" s="50">
        <f>IF($F271,COUNTIF($F$1:$F271,TRUE),"")</f>
        <v>271</v>
      </c>
      <c r="H271" s="50" t="str">
        <f>IFERROR(INDEX(NameStudent,MATCH(ROWS($H$1:$H271),Index,0)),"")</f>
        <v>Леонтьев Илья Алексеевич;6-18М110/18;821694;№6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55">
        <v>827185</v>
      </c>
      <c r="B272" s="55" t="s">
        <v>957</v>
      </c>
      <c r="C272" s="58" t="s">
        <v>958</v>
      </c>
      <c r="D272" s="55" t="s">
        <v>55</v>
      </c>
      <c r="E272" s="50" t="str">
        <f t="shared" si="8"/>
        <v>Леонтьев Михаил Романович;6-16Р043/2019;827185;№6</v>
      </c>
      <c r="F272" s="50" t="b">
        <f t="shared" si="9"/>
        <v>1</v>
      </c>
      <c r="G272" s="50">
        <f>IF($F272,COUNTIF($F$1:$F272,TRUE),"")</f>
        <v>272</v>
      </c>
      <c r="H272" s="50" t="str">
        <f>IFERROR(INDEX(NameStudent,MATCH(ROWS($H$1:$H272),Index,0)),"")</f>
        <v>Леонтьев Михаил Романович;6-16Р043/2019;827185;№6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815092</v>
      </c>
      <c r="B273" s="55" t="s">
        <v>703</v>
      </c>
      <c r="C273" s="58" t="s">
        <v>704</v>
      </c>
      <c r="D273" s="55" t="s">
        <v>55</v>
      </c>
      <c r="E273" s="50" t="str">
        <f t="shared" si="8"/>
        <v>Ли Аким Викторович;6-18Р065/2018;815092;№6</v>
      </c>
      <c r="F273" s="50" t="b">
        <f t="shared" si="9"/>
        <v>1</v>
      </c>
      <c r="G273" s="50">
        <f>IF($F273,COUNTIF($F$1:$F273,TRUE),"")</f>
        <v>273</v>
      </c>
      <c r="H273" s="50" t="str">
        <f>IFERROR(INDEX(NameStudent,MATCH(ROWS($H$1:$H273),Index,0)),"")</f>
        <v>Ли Аким Викторович;6-18Р065/2018;815092;№6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65">
        <v>820481</v>
      </c>
      <c r="B274" s="66" t="s">
        <v>1145</v>
      </c>
      <c r="C274" s="63" t="s">
        <v>1146</v>
      </c>
      <c r="D274" s="66" t="s">
        <v>55</v>
      </c>
      <c r="E274" s="50" t="str">
        <f t="shared" si="8"/>
        <v>Ли Хэнсюй ;6-18ИМ22/2018;820481;№6</v>
      </c>
      <c r="F274" s="50" t="b">
        <f t="shared" si="9"/>
        <v>1</v>
      </c>
      <c r="G274" s="50">
        <f>IF($F274,COUNTIF($F$1:$F274,TRUE),"")</f>
        <v>274</v>
      </c>
      <c r="H274" s="50" t="str">
        <f>IFERROR(INDEX(NameStudent,MATCH(ROWS($H$1:$H274),Index,0)),"")</f>
        <v>Ли Хэнсюй ;6-18ИМ22/2018;820481;№6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820662</v>
      </c>
      <c r="B275" s="66" t="s">
        <v>1185</v>
      </c>
      <c r="C275" s="63" t="s">
        <v>1186</v>
      </c>
      <c r="D275" s="66" t="s">
        <v>55</v>
      </c>
      <c r="E275" s="50" t="str">
        <f t="shared" si="8"/>
        <v>Ли Чжэнюань  ;6-17ИП148/2018;820662;№6</v>
      </c>
      <c r="F275" s="50" t="b">
        <f t="shared" si="9"/>
        <v>1</v>
      </c>
      <c r="G275" s="50">
        <f>IF($F275,COUNTIF($F$1:$F275,TRUE),"")</f>
        <v>275</v>
      </c>
      <c r="H275" s="50" t="str">
        <f>IFERROR(INDEX(NameStudent,MATCH(ROWS($H$1:$H275),Index,0)),"")</f>
        <v>Ли Чжэнюань  ;6-17ИП148/2018;820662;№6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816756</v>
      </c>
      <c r="B276" s="66" t="s">
        <v>1077</v>
      </c>
      <c r="C276" s="63" t="s">
        <v>1078</v>
      </c>
      <c r="D276" s="66" t="s">
        <v>55</v>
      </c>
      <c r="E276" s="50" t="str">
        <f t="shared" si="8"/>
        <v>Ли Шаочу  ;6-17ИМ68/2018;816756;№6</v>
      </c>
      <c r="F276" s="50" t="b">
        <f t="shared" si="9"/>
        <v>1</v>
      </c>
      <c r="G276" s="50">
        <f>IF($F276,COUNTIF($F$1:$F276,TRUE),"")</f>
        <v>276</v>
      </c>
      <c r="H276" s="50" t="str">
        <f>IFERROR(INDEX(NameStudent,MATCH(ROWS($H$1:$H276),Index,0)),"")</f>
        <v>Ли Шаочу  ;6-17ИМ68/2018;816756;№6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820477</v>
      </c>
      <c r="B277" s="66" t="s">
        <v>1143</v>
      </c>
      <c r="C277" s="63" t="s">
        <v>1144</v>
      </c>
      <c r="D277" s="66" t="s">
        <v>55</v>
      </c>
      <c r="E277" s="50" t="str">
        <f t="shared" si="8"/>
        <v>Лилль Элина  ;6-18ИЮ01/2018;820477;№6</v>
      </c>
      <c r="F277" s="50" t="b">
        <f t="shared" si="9"/>
        <v>1</v>
      </c>
      <c r="G277" s="50">
        <f>IF($F277,COUNTIF($F$1:$F277,TRUE),"")</f>
        <v>277</v>
      </c>
      <c r="H277" s="50" t="str">
        <f>IFERROR(INDEX(NameStudent,MATCH(ROWS($H$1:$H277),Index,0)),"")</f>
        <v>Лилль Элина  ;6-18ИЮ01/2018;820477;№6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55">
        <v>815096</v>
      </c>
      <c r="B278" s="55" t="s">
        <v>705</v>
      </c>
      <c r="C278" s="58" t="s">
        <v>706</v>
      </c>
      <c r="D278" s="55" t="s">
        <v>55</v>
      </c>
      <c r="E278" s="50" t="str">
        <f t="shared" si="8"/>
        <v>Линник Арсений Алексеевич;6-18Р066/2018;815096;№6</v>
      </c>
      <c r="F278" s="50" t="b">
        <f t="shared" si="9"/>
        <v>1</v>
      </c>
      <c r="G278" s="50">
        <f>IF($F278,COUNTIF($F$1:$F278,TRUE),"")</f>
        <v>278</v>
      </c>
      <c r="H278" s="50" t="str">
        <f>IFERROR(INDEX(NameStudent,MATCH(ROWS($H$1:$H278),Index,0)),"")</f>
        <v>Линник Арсений Алексеевич;6-18Р066/2018;815096;№6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65">
        <v>127736</v>
      </c>
      <c r="B279" s="66" t="s">
        <v>110</v>
      </c>
      <c r="C279" s="63" t="s">
        <v>111</v>
      </c>
      <c r="D279" s="66" t="s">
        <v>55</v>
      </c>
      <c r="E279" s="50" t="str">
        <f t="shared" si="8"/>
        <v>Липатов Александр Сергеевич;6-15Р129 /2015;127736;№6</v>
      </c>
      <c r="F279" s="50" t="b">
        <f t="shared" si="9"/>
        <v>1</v>
      </c>
      <c r="G279" s="50">
        <f>IF($F279,COUNTIF($F$1:$F279,TRUE),"")</f>
        <v>279</v>
      </c>
      <c r="H279" s="50" t="str">
        <f>IFERROR(INDEX(NameStudent,MATCH(ROWS($H$1:$H279),Index,0)),"")</f>
        <v>Липатов Александр Сергеевич;6-15Р129 /2015;127736;№6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820485</v>
      </c>
      <c r="B280" s="66" t="s">
        <v>1147</v>
      </c>
      <c r="C280" s="63" t="s">
        <v>1148</v>
      </c>
      <c r="D280" s="66" t="s">
        <v>55</v>
      </c>
      <c r="E280" s="50" t="str">
        <f t="shared" si="8"/>
        <v>Ло Дайда ;6-18ИМ24/2018;820485;№6</v>
      </c>
      <c r="F280" s="50" t="b">
        <f t="shared" si="9"/>
        <v>1</v>
      </c>
      <c r="G280" s="50">
        <f>IF($F280,COUNTIF($F$1:$F280,TRUE),"")</f>
        <v>280</v>
      </c>
      <c r="H280" s="50" t="str">
        <f>IFERROR(INDEX(NameStudent,MATCH(ROWS($H$1:$H280),Index,0)),"")</f>
        <v>Ло Дайда ;6-18ИМ24/2018;820485;№6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815099</v>
      </c>
      <c r="B281" s="55" t="s">
        <v>707</v>
      </c>
      <c r="C281" s="58" t="s">
        <v>708</v>
      </c>
      <c r="D281" s="55" t="s">
        <v>55</v>
      </c>
      <c r="E281" s="50" t="str">
        <f t="shared" si="8"/>
        <v>Лохманюк Андрей Павлович;6-18Р097/2018;815099;№6</v>
      </c>
      <c r="F281" s="50" t="b">
        <f t="shared" si="9"/>
        <v>1</v>
      </c>
      <c r="G281" s="50">
        <f>IF($F281,COUNTIF($F$1:$F281,TRUE),"")</f>
        <v>281</v>
      </c>
      <c r="H281" s="50" t="str">
        <f>IFERROR(INDEX(NameStudent,MATCH(ROWS($H$1:$H281),Index,0)),"")</f>
        <v>Лохманюк Андрей Павлович;6-18Р097/2018;815099;№6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142992</v>
      </c>
      <c r="B282" s="66" t="s">
        <v>266</v>
      </c>
      <c r="C282" s="63" t="s">
        <v>267</v>
      </c>
      <c r="D282" s="66" t="s">
        <v>55</v>
      </c>
      <c r="E282" s="50" t="str">
        <f t="shared" si="8"/>
        <v>Лубянов Александр Дмитриевич;6-16Р184 /2016;142992;№6</v>
      </c>
      <c r="F282" s="50" t="b">
        <f t="shared" si="9"/>
        <v>1</v>
      </c>
      <c r="G282" s="50">
        <f>IF($F282,COUNTIF($F$1:$F282,TRUE),"")</f>
        <v>282</v>
      </c>
      <c r="H282" s="50" t="str">
        <f>IFERROR(INDEX(NameStudent,MATCH(ROWS($H$1:$H282),Index,0)),"")</f>
        <v>Лубянов Александр Дмитриевич;6-16Р184 /2016;142992;№6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784866</v>
      </c>
      <c r="B283" s="66" t="s">
        <v>382</v>
      </c>
      <c r="C283" s="63" t="s">
        <v>383</v>
      </c>
      <c r="D283" s="66" t="s">
        <v>55</v>
      </c>
      <c r="E283" s="50" t="str">
        <f t="shared" si="8"/>
        <v>Лукъянов Максим Андреевич;6-17Р083 /2017;784866;№6</v>
      </c>
      <c r="F283" s="50" t="b">
        <f t="shared" si="9"/>
        <v>1</v>
      </c>
      <c r="G283" s="50">
        <f>IF($F283,COUNTIF($F$1:$F283,TRUE),"")</f>
        <v>283</v>
      </c>
      <c r="H283" s="50" t="str">
        <f>IFERROR(INDEX(NameStudent,MATCH(ROWS($H$1:$H283),Index,0)),"")</f>
        <v>Лукъянов Максим Андреевич;6-17Р083 /2017;784866;№6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55">
        <v>816876</v>
      </c>
      <c r="B284" s="55" t="s">
        <v>865</v>
      </c>
      <c r="C284" s="58" t="s">
        <v>866</v>
      </c>
      <c r="D284" s="55" t="s">
        <v>55</v>
      </c>
      <c r="E284" s="50" t="str">
        <f t="shared" si="8"/>
        <v>Лунев Егор Романович;6-18Р007/2018;816876;№6</v>
      </c>
      <c r="F284" s="50" t="b">
        <f t="shared" si="9"/>
        <v>1</v>
      </c>
      <c r="G284" s="50">
        <f>IF($F284,COUNTIF($F$1:$F284,TRUE),"")</f>
        <v>284</v>
      </c>
      <c r="H284" s="50" t="str">
        <f>IFERROR(INDEX(NameStudent,MATCH(ROWS($H$1:$H284),Index,0)),"")</f>
        <v>Лунев Егор Романович;6-18Р007/2018;816876;№6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65">
        <v>815107</v>
      </c>
      <c r="B285" s="66" t="s">
        <v>1055</v>
      </c>
      <c r="C285" s="63" t="s">
        <v>1056</v>
      </c>
      <c r="D285" s="66" t="s">
        <v>55</v>
      </c>
      <c r="E285" s="50" t="str">
        <f t="shared" si="8"/>
        <v>Лю Шицян  ;6-16ИР07/2018;815107;№6</v>
      </c>
      <c r="F285" s="50" t="b">
        <f t="shared" si="9"/>
        <v>1</v>
      </c>
      <c r="G285" s="50">
        <f>IF($F285,COUNTIF($F$1:$F285,TRUE),"")</f>
        <v>285</v>
      </c>
      <c r="H285" s="50" t="str">
        <f>IFERROR(INDEX(NameStudent,MATCH(ROWS($H$1:$H285),Index,0)),"")</f>
        <v>Лю Шицян  ;6-16ИР07/2018;815107;№6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817800</v>
      </c>
      <c r="B286" s="66" t="s">
        <v>1039</v>
      </c>
      <c r="C286" s="63" t="s">
        <v>1040</v>
      </c>
      <c r="D286" s="66" t="s">
        <v>55</v>
      </c>
      <c r="E286" s="50" t="str">
        <f t="shared" si="8"/>
        <v>Магомадов Шахман Савраниевич;6-18Р226/18;817800;№6</v>
      </c>
      <c r="F286" s="50" t="b">
        <f t="shared" si="9"/>
        <v>1</v>
      </c>
      <c r="G286" s="50">
        <f>IF($F286,COUNTIF($F$1:$F286,TRUE),"")</f>
        <v>286</v>
      </c>
      <c r="H286" s="50" t="str">
        <f>IFERROR(INDEX(NameStudent,MATCH(ROWS($H$1:$H286),Index,0)),"")</f>
        <v>Магомадов Шахман Савраниевич;6-18Р226/18;817800;№6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815108</v>
      </c>
      <c r="B287" s="55" t="s">
        <v>709</v>
      </c>
      <c r="C287" s="58" t="s">
        <v>710</v>
      </c>
      <c r="D287" s="55" t="s">
        <v>55</v>
      </c>
      <c r="E287" s="50" t="str">
        <f t="shared" si="8"/>
        <v>Магомедов Магомед Шайдалавович;6-18Р098/2018;815108;№6</v>
      </c>
      <c r="F287" s="50" t="b">
        <f t="shared" si="9"/>
        <v>1</v>
      </c>
      <c r="G287" s="50">
        <f>IF($F287,COUNTIF($F$1:$F287,TRUE),"")</f>
        <v>287</v>
      </c>
      <c r="H287" s="50" t="str">
        <f>IFERROR(INDEX(NameStudent,MATCH(ROWS($H$1:$H287),Index,0)),"")</f>
        <v>Магомедов Магомед Шайдалавович;6-18Р098/2018;815108;№6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815113</v>
      </c>
      <c r="B288" s="55" t="s">
        <v>711</v>
      </c>
      <c r="C288" s="58" t="s">
        <v>712</v>
      </c>
      <c r="D288" s="55" t="s">
        <v>55</v>
      </c>
      <c r="E288" s="50" t="str">
        <f t="shared" si="8"/>
        <v>Мадиев Ильгиз Заидович;6-18М078/2018;815113;№6</v>
      </c>
      <c r="F288" s="50" t="b">
        <f t="shared" si="9"/>
        <v>1</v>
      </c>
      <c r="G288" s="50">
        <f>IF($F288,COUNTIF($F$1:$F288,TRUE),"")</f>
        <v>288</v>
      </c>
      <c r="H288" s="50" t="str">
        <f>IFERROR(INDEX(NameStudent,MATCH(ROWS($H$1:$H288),Index,0)),"")</f>
        <v>Мадиев Ильгиз Заидович;6-18М078/2018;815113;№6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65">
        <v>127745</v>
      </c>
      <c r="B289" s="66" t="s">
        <v>116</v>
      </c>
      <c r="C289" s="63" t="s">
        <v>117</v>
      </c>
      <c r="D289" s="66" t="s">
        <v>55</v>
      </c>
      <c r="E289" s="50" t="str">
        <f t="shared" si="8"/>
        <v>Мадиева Валерия Владимировна;6-15Р130 /2015;127745;№6</v>
      </c>
      <c r="F289" s="50" t="b">
        <f t="shared" si="9"/>
        <v>1</v>
      </c>
      <c r="G289" s="50">
        <f>IF($F289,COUNTIF($F$1:$F289,TRUE),"")</f>
        <v>289</v>
      </c>
      <c r="H289" s="50" t="str">
        <f>IFERROR(INDEX(NameStudent,MATCH(ROWS($H$1:$H289),Index,0)),"")</f>
        <v>Мадиева Валерия Владимировна;6-15Р130 /2015;127745;№6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143005</v>
      </c>
      <c r="B290" s="66" t="s">
        <v>268</v>
      </c>
      <c r="C290" s="63" t="s">
        <v>269</v>
      </c>
      <c r="D290" s="66" t="s">
        <v>55</v>
      </c>
      <c r="E290" s="50" t="str">
        <f t="shared" si="8"/>
        <v>Максимов Дмитрий Михайлович;6-16Р186 /2016;143005;№6</v>
      </c>
      <c r="F290" s="50" t="b">
        <f t="shared" si="9"/>
        <v>1</v>
      </c>
      <c r="G290" s="50">
        <f>IF($F290,COUNTIF($F$1:$F290,TRUE),"")</f>
        <v>290</v>
      </c>
      <c r="H290" s="50" t="str">
        <f>IFERROR(INDEX(NameStudent,MATCH(ROWS($H$1:$H290),Index,0)),"")</f>
        <v>Максимов Дмитрий Михайлович;6-16Р186 /2016;143005;№6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785442</v>
      </c>
      <c r="B291" s="66" t="s">
        <v>516</v>
      </c>
      <c r="C291" s="63" t="s">
        <v>517</v>
      </c>
      <c r="D291" s="66" t="s">
        <v>55</v>
      </c>
      <c r="E291" s="50" t="str">
        <f t="shared" si="8"/>
        <v>Максимов Олег Романович;6-16М115 /2017;785442;№6</v>
      </c>
      <c r="F291" s="50" t="b">
        <f t="shared" si="9"/>
        <v>1</v>
      </c>
      <c r="G291" s="50">
        <f>IF($F291,COUNTIF($F$1:$F291,TRUE),"")</f>
        <v>291</v>
      </c>
      <c r="H291" s="50" t="str">
        <f>IFERROR(INDEX(NameStudent,MATCH(ROWS($H$1:$H291),Index,0)),"")</f>
        <v>Максимов Олег Романович;6-16М115 /2017;785442;№6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792257</v>
      </c>
      <c r="B292" s="66" t="s">
        <v>584</v>
      </c>
      <c r="C292" s="63" t="s">
        <v>585</v>
      </c>
      <c r="D292" s="66" t="s">
        <v>55</v>
      </c>
      <c r="E292" s="50" t="str">
        <f t="shared" si="8"/>
        <v>Малиновская Анастасия Владимировна;6-14М688/2017;792257;№6</v>
      </c>
      <c r="F292" s="50" t="b">
        <f t="shared" si="9"/>
        <v>1</v>
      </c>
      <c r="G292" s="50">
        <f>IF($F292,COUNTIF($F$1:$F292,TRUE),"")</f>
        <v>292</v>
      </c>
      <c r="H292" s="50" t="str">
        <f>IFERROR(INDEX(NameStudent,MATCH(ROWS($H$1:$H292),Index,0)),"")</f>
        <v>Малиновская Анастасия Владимировна;6-14М688/2017;792257;№6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55">
        <v>816823</v>
      </c>
      <c r="B293" s="55" t="s">
        <v>835</v>
      </c>
      <c r="C293" s="58" t="s">
        <v>836</v>
      </c>
      <c r="D293" s="55" t="s">
        <v>55</v>
      </c>
      <c r="E293" s="50" t="str">
        <f t="shared" si="8"/>
        <v>Мальцев Александр Викторович;6-18ММ078/2018;816823;№6</v>
      </c>
      <c r="F293" s="50" t="b">
        <f t="shared" si="9"/>
        <v>1</v>
      </c>
      <c r="G293" s="50">
        <f>IF($F293,COUNTIF($F$1:$F293,TRUE),"")</f>
        <v>293</v>
      </c>
      <c r="H293" s="50" t="str">
        <f>IFERROR(INDEX(NameStudent,MATCH(ROWS($H$1:$H293),Index,0)),"")</f>
        <v>Мальцев Александр Викторович;6-18ММ078/2018;816823;№6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820491</v>
      </c>
      <c r="B294" s="66" t="s">
        <v>1149</v>
      </c>
      <c r="C294" s="63" t="s">
        <v>1150</v>
      </c>
      <c r="D294" s="66" t="s">
        <v>55</v>
      </c>
      <c r="E294" s="50" t="str">
        <f t="shared" si="8"/>
        <v>Мамедсахатова Сурай  ;6-18Р285/2018;820491;№6</v>
      </c>
      <c r="F294" s="50" t="b">
        <f t="shared" si="9"/>
        <v>1</v>
      </c>
      <c r="G294" s="50">
        <f>IF($F294,COUNTIF($F$1:$F294,TRUE),"")</f>
        <v>294</v>
      </c>
      <c r="H294" s="50" t="str">
        <f>IFERROR(INDEX(NameStudent,MATCH(ROWS($H$1:$H294),Index,0)),"")</f>
        <v>Мамедсахатова Сурай  ;6-18Р285/2018;820491;№6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55">
        <v>823246</v>
      </c>
      <c r="B295" s="55" t="s">
        <v>941</v>
      </c>
      <c r="C295" s="58" t="s">
        <v>942</v>
      </c>
      <c r="D295" s="55" t="s">
        <v>55</v>
      </c>
      <c r="E295" s="50" t="str">
        <f t="shared" si="8"/>
        <v>Мамушев Антон Сергеевич;6-16М002/2018;823246;№6</v>
      </c>
      <c r="F295" s="50" t="b">
        <f t="shared" si="9"/>
        <v>1</v>
      </c>
      <c r="G295" s="50">
        <f>IF($F295,COUNTIF($F$1:$F295,TRUE),"")</f>
        <v>295</v>
      </c>
      <c r="H295" s="50" t="str">
        <f>IFERROR(INDEX(NameStudent,MATCH(ROWS($H$1:$H295),Index,0)),"")</f>
        <v>Мамушев Антон Сергеевич;6-16М002/2018;823246;№6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65">
        <v>784868</v>
      </c>
      <c r="B296" s="66" t="s">
        <v>384</v>
      </c>
      <c r="C296" s="63" t="s">
        <v>385</v>
      </c>
      <c r="D296" s="66" t="s">
        <v>55</v>
      </c>
      <c r="E296" s="50" t="str">
        <f t="shared" si="8"/>
        <v>Манакова Яна Владимировна;6-17Р046 /2017;784868;№6</v>
      </c>
      <c r="F296" s="50" t="b">
        <f t="shared" si="9"/>
        <v>1</v>
      </c>
      <c r="G296" s="50">
        <f>IF($F296,COUNTIF($F$1:$F296,TRUE),"")</f>
        <v>296</v>
      </c>
      <c r="H296" s="50" t="str">
        <f>IFERROR(INDEX(NameStudent,MATCH(ROWS($H$1:$H296),Index,0)),"")</f>
        <v>Манакова Яна Владимировна;6-17Р046 /2017;784868;№6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65">
        <v>820495</v>
      </c>
      <c r="B297" s="66" t="s">
        <v>1151</v>
      </c>
      <c r="C297" s="63" t="s">
        <v>1152</v>
      </c>
      <c r="D297" s="66" t="s">
        <v>55</v>
      </c>
      <c r="E297" s="50" t="str">
        <f t="shared" si="8"/>
        <v>Мартемьянов Тимур  ;6-16М599/2018;820495;№6</v>
      </c>
      <c r="F297" s="50" t="b">
        <f t="shared" si="9"/>
        <v>1</v>
      </c>
      <c r="G297" s="50">
        <f>IF($F297,COUNTIF($F$1:$F297,TRUE),"")</f>
        <v>297</v>
      </c>
      <c r="H297" s="50" t="str">
        <f>IFERROR(INDEX(NameStudent,MATCH(ROWS($H$1:$H297),Index,0)),"")</f>
        <v>Мартемьянов Тимур  ;6-16М599/2018;820495;№6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149090</v>
      </c>
      <c r="B298" s="66" t="s">
        <v>330</v>
      </c>
      <c r="C298" s="63" t="s">
        <v>331</v>
      </c>
      <c r="D298" s="66" t="s">
        <v>55</v>
      </c>
      <c r="E298" s="50" t="str">
        <f t="shared" si="8"/>
        <v>Мартюшев Александр Львович;6-14А067 /2016;149090;№6</v>
      </c>
      <c r="F298" s="50" t="b">
        <f t="shared" si="9"/>
        <v>1</v>
      </c>
      <c r="G298" s="50">
        <f>IF($F298,COUNTIF($F$1:$F298,TRUE),"")</f>
        <v>298</v>
      </c>
      <c r="H298" s="50" t="str">
        <f>IFERROR(INDEX(NameStudent,MATCH(ROWS($H$1:$H298),Index,0)),"")</f>
        <v>Мартюшев Александр Львович;6-14А067 /2016;149090;№6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55">
        <v>827198</v>
      </c>
      <c r="B299" s="55" t="s">
        <v>967</v>
      </c>
      <c r="C299" s="58" t="s">
        <v>968</v>
      </c>
      <c r="D299" s="55" t="s">
        <v>55</v>
      </c>
      <c r="E299" s="50" t="str">
        <f t="shared" si="8"/>
        <v>Мартюшева Ирина Львовна;6-18А063/2019;827198;№6</v>
      </c>
      <c r="F299" s="50" t="b">
        <f t="shared" si="9"/>
        <v>1</v>
      </c>
      <c r="G299" s="50">
        <f>IF($F299,COUNTIF($F$1:$F299,TRUE),"")</f>
        <v>299</v>
      </c>
      <c r="H299" s="50" t="str">
        <f>IFERROR(INDEX(NameStudent,MATCH(ROWS($H$1:$H299),Index,0)),"")</f>
        <v>Мартюшева Ирина Львовна;6-18А063/2019;827198;№6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785081</v>
      </c>
      <c r="B300" s="66" t="s">
        <v>468</v>
      </c>
      <c r="C300" s="63" t="s">
        <v>469</v>
      </c>
      <c r="D300" s="66" t="s">
        <v>55</v>
      </c>
      <c r="E300" s="50" t="str">
        <f t="shared" si="8"/>
        <v>Масный Дмитрий Игоревич;6-17Р163 /2017;785081;№6</v>
      </c>
      <c r="F300" s="50" t="b">
        <f t="shared" si="9"/>
        <v>1</v>
      </c>
      <c r="G300" s="50">
        <f>IF($F300,COUNTIF($F$1:$F300,TRUE),"")</f>
        <v>300</v>
      </c>
      <c r="H300" s="50" t="str">
        <f>IFERROR(INDEX(NameStudent,MATCH(ROWS($H$1:$H300),Index,0)),"")</f>
        <v>Масный Дмитрий Игоревич;6-17Р163 /2017;785081;№6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816826</v>
      </c>
      <c r="B301" s="55" t="s">
        <v>837</v>
      </c>
      <c r="C301" s="58" t="s">
        <v>838</v>
      </c>
      <c r="D301" s="55" t="s">
        <v>55</v>
      </c>
      <c r="E301" s="50" t="str">
        <f t="shared" si="8"/>
        <v>Матвеева Марина Макаровна;6-18М041/2018;816826;№6</v>
      </c>
      <c r="F301" s="50" t="b">
        <f t="shared" si="9"/>
        <v>1</v>
      </c>
      <c r="G301" s="50">
        <f>IF($F301,COUNTIF($F$1:$F301,TRUE),"")</f>
        <v>301</v>
      </c>
      <c r="H301" s="50" t="str">
        <f>IFERROR(INDEX(NameStudent,MATCH(ROWS($H$1:$H301),Index,0)),"")</f>
        <v>Матвеева Марина Макаровна;6-18М041/2018;816826;№6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816829</v>
      </c>
      <c r="B302" s="55" t="s">
        <v>839</v>
      </c>
      <c r="C302" s="58" t="s">
        <v>840</v>
      </c>
      <c r="D302" s="55" t="s">
        <v>55</v>
      </c>
      <c r="E302" s="50" t="str">
        <f t="shared" si="8"/>
        <v>Медведев Владимир Олегович;6-14Р126/2018;816829;№6</v>
      </c>
      <c r="F302" s="50" t="b">
        <f t="shared" si="9"/>
        <v>1</v>
      </c>
      <c r="G302" s="50">
        <f>IF($F302,COUNTIF($F$1:$F302,TRUE),"")</f>
        <v>302</v>
      </c>
      <c r="H302" s="50" t="str">
        <f>IFERROR(INDEX(NameStudent,MATCH(ROWS($H$1:$H302),Index,0)),"")</f>
        <v>Медведев Владимир Олегович;6-14Р126/2018;816829;№6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817758</v>
      </c>
      <c r="B303" s="55" t="s">
        <v>897</v>
      </c>
      <c r="C303" s="58" t="s">
        <v>898</v>
      </c>
      <c r="D303" s="55" t="s">
        <v>55</v>
      </c>
      <c r="E303" s="50" t="str">
        <f t="shared" si="8"/>
        <v>Медяник Елизавета Васильевна;6-14Р360/2018;817758;№6</v>
      </c>
      <c r="F303" s="50" t="b">
        <f t="shared" si="9"/>
        <v>1</v>
      </c>
      <c r="G303" s="50">
        <f>IF($F303,COUNTIF($F$1:$F303,TRUE),"")</f>
        <v>303</v>
      </c>
      <c r="H303" s="50" t="str">
        <f>IFERROR(INDEX(NameStudent,MATCH(ROWS($H$1:$H303),Index,0)),"")</f>
        <v>Медяник Елизавета Васильевна;6-14Р360/2018;817758;№6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785079</v>
      </c>
      <c r="B304" s="66" t="s">
        <v>466</v>
      </c>
      <c r="C304" s="63" t="s">
        <v>467</v>
      </c>
      <c r="D304" s="66" t="s">
        <v>55</v>
      </c>
      <c r="E304" s="50" t="str">
        <f t="shared" si="8"/>
        <v>Мельников Дмитрий Евгеньевич;6-17Р121 /2017;785079;№6</v>
      </c>
      <c r="F304" s="50" t="b">
        <f t="shared" si="9"/>
        <v>1</v>
      </c>
      <c r="G304" s="50">
        <f>IF($F304,COUNTIF($F$1:$F304,TRUE),"")</f>
        <v>304</v>
      </c>
      <c r="H304" s="50" t="str">
        <f>IFERROR(INDEX(NameStudent,MATCH(ROWS($H$1:$H304),Index,0)),"")</f>
        <v>Мельников Дмитрий Евгеньевич;6-17Р121 /2017;785079;№6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784869</v>
      </c>
      <c r="B305" s="66" t="s">
        <v>386</v>
      </c>
      <c r="C305" s="63" t="s">
        <v>387</v>
      </c>
      <c r="D305" s="66" t="s">
        <v>55</v>
      </c>
      <c r="E305" s="50" t="str">
        <f t="shared" si="8"/>
        <v>Меньшиков Павел Валерьевич;6-17Р122 /2017;784869;№6</v>
      </c>
      <c r="F305" s="50" t="b">
        <f t="shared" si="9"/>
        <v>1</v>
      </c>
      <c r="G305" s="50">
        <f>IF($F305,COUNTIF($F$1:$F305,TRUE),"")</f>
        <v>305</v>
      </c>
      <c r="H305" s="50" t="str">
        <f>IFERROR(INDEX(NameStudent,MATCH(ROWS($H$1:$H305),Index,0)),"")</f>
        <v>Меньшиков Павел Валерьевич;6-17Р122 /2017;784869;№6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127744</v>
      </c>
      <c r="B306" s="66" t="s">
        <v>114</v>
      </c>
      <c r="C306" s="63" t="s">
        <v>115</v>
      </c>
      <c r="D306" s="66" t="s">
        <v>55</v>
      </c>
      <c r="E306" s="50" t="str">
        <f t="shared" si="8"/>
        <v>Мигранов Рустам Рамилевич;6-15Р134 /2015;127744;№6</v>
      </c>
      <c r="F306" s="50" t="b">
        <f t="shared" si="9"/>
        <v>1</v>
      </c>
      <c r="G306" s="50">
        <f>IF($F306,COUNTIF($F$1:$F306,TRUE),"")</f>
        <v>306</v>
      </c>
      <c r="H306" s="50" t="str">
        <f>IFERROR(INDEX(NameStudent,MATCH(ROWS($H$1:$H306),Index,0)),"")</f>
        <v>Мигранов Рустам Рамилевич;6-15Р134 /2015;127744;№6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130859</v>
      </c>
      <c r="B307" s="66" t="s">
        <v>186</v>
      </c>
      <c r="C307" s="63" t="s">
        <v>187</v>
      </c>
      <c r="D307" s="66" t="s">
        <v>55</v>
      </c>
      <c r="E307" s="50" t="str">
        <f t="shared" si="8"/>
        <v>Милашевская Светлана Юрьевна;6-14Ю013 /2015;130859;№6</v>
      </c>
      <c r="F307" s="50" t="b">
        <f t="shared" si="9"/>
        <v>1</v>
      </c>
      <c r="G307" s="50">
        <f>IF($F307,COUNTIF($F$1:$F307,TRUE),"")</f>
        <v>307</v>
      </c>
      <c r="H307" s="50" t="str">
        <f>IFERROR(INDEX(NameStudent,MATCH(ROWS($H$1:$H307),Index,0)),"")</f>
        <v>Милашевская Светлана Юрьевна;6-14Ю013 /2015;130859;№6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816759</v>
      </c>
      <c r="B308" s="66" t="s">
        <v>1079</v>
      </c>
      <c r="C308" s="63" t="s">
        <v>1080</v>
      </c>
      <c r="D308" s="66" t="s">
        <v>55</v>
      </c>
      <c r="E308" s="50" t="str">
        <f t="shared" si="8"/>
        <v>Минасян Илья  ;6-17ИР11/2018;816759;№6</v>
      </c>
      <c r="F308" s="50" t="b">
        <f t="shared" si="9"/>
        <v>1</v>
      </c>
      <c r="G308" s="50">
        <f>IF($F308,COUNTIF($F$1:$F308,TRUE),"")</f>
        <v>308</v>
      </c>
      <c r="H308" s="50" t="str">
        <f>IFERROR(INDEX(NameStudent,MATCH(ROWS($H$1:$H308),Index,0)),"")</f>
        <v>Минасян Илья  ;6-17ИР11/2018;816759;№6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816761</v>
      </c>
      <c r="B309" s="66" t="s">
        <v>1081</v>
      </c>
      <c r="C309" s="63" t="s">
        <v>1082</v>
      </c>
      <c r="D309" s="66" t="s">
        <v>55</v>
      </c>
      <c r="E309" s="50" t="str">
        <f t="shared" si="8"/>
        <v>Мирзоев Сорбон Наимович;6-17Р303/2018;816761;№6</v>
      </c>
      <c r="F309" s="50" t="b">
        <f t="shared" si="9"/>
        <v>1</v>
      </c>
      <c r="G309" s="50">
        <f>IF($F309,COUNTIF($F$1:$F309,TRUE),"")</f>
        <v>309</v>
      </c>
      <c r="H309" s="50" t="str">
        <f>IFERROR(INDEX(NameStudent,MATCH(ROWS($H$1:$H309),Index,0)),"")</f>
        <v>Мирзоев Сорбон Наимович;6-17Р303/2018;816761;№6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55">
        <v>815118</v>
      </c>
      <c r="B310" s="55" t="s">
        <v>713</v>
      </c>
      <c r="C310" s="58" t="s">
        <v>714</v>
      </c>
      <c r="D310" s="55" t="s">
        <v>55</v>
      </c>
      <c r="E310" s="50" t="str">
        <f t="shared" si="8"/>
        <v>Миронова Елена Сергеевна;6-18Р123/2018;815118;№6</v>
      </c>
      <c r="F310" s="50" t="b">
        <f t="shared" si="9"/>
        <v>1</v>
      </c>
      <c r="G310" s="50">
        <f>IF($F310,COUNTIF($F$1:$F310,TRUE),"")</f>
        <v>310</v>
      </c>
      <c r="H310" s="50" t="str">
        <f>IFERROR(INDEX(NameStudent,MATCH(ROWS($H$1:$H310),Index,0)),"")</f>
        <v>Миронова Елена Сергеевна;6-18Р123/2018;815118;№6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815123</v>
      </c>
      <c r="B311" s="55" t="s">
        <v>715</v>
      </c>
      <c r="C311" s="58" t="s">
        <v>716</v>
      </c>
      <c r="D311" s="55" t="s">
        <v>55</v>
      </c>
      <c r="E311" s="50" t="str">
        <f t="shared" si="8"/>
        <v>Мисакьян Владимир Мисакович;6-18Р160/2018;815123;№6</v>
      </c>
      <c r="F311" s="50" t="b">
        <f t="shared" si="9"/>
        <v>1</v>
      </c>
      <c r="G311" s="50">
        <f>IF($F311,COUNTIF($F$1:$F311,TRUE),"")</f>
        <v>311</v>
      </c>
      <c r="H311" s="50" t="str">
        <f>IFERROR(INDEX(NameStudent,MATCH(ROWS($H$1:$H311),Index,0)),"")</f>
        <v>Мисакьян Владимир Мисакович;6-18Р160/2018;815123;№6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65">
        <v>808456</v>
      </c>
      <c r="B312" s="66" t="s">
        <v>612</v>
      </c>
      <c r="C312" s="63" t="s">
        <v>613</v>
      </c>
      <c r="D312" s="66" t="s">
        <v>55</v>
      </c>
      <c r="E312" s="50" t="str">
        <f t="shared" si="8"/>
        <v>Митенко Максим Дмитриевич;6-14А068/2018;808456;№6</v>
      </c>
      <c r="F312" s="50" t="b">
        <f t="shared" si="9"/>
        <v>1</v>
      </c>
      <c r="G312" s="50">
        <f>IF($F312,COUNTIF($F$1:$F312,TRUE),"")</f>
        <v>312</v>
      </c>
      <c r="H312" s="50" t="str">
        <f>IFERROR(INDEX(NameStudent,MATCH(ROWS($H$1:$H312),Index,0)),"")</f>
        <v>Митенко Максим Дмитриевич;6-14А068/2018;808456;№6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65">
        <v>142573</v>
      </c>
      <c r="B313" s="66" t="s">
        <v>200</v>
      </c>
      <c r="C313" s="63" t="s">
        <v>201</v>
      </c>
      <c r="D313" s="66" t="s">
        <v>55</v>
      </c>
      <c r="E313" s="50" t="str">
        <f t="shared" si="8"/>
        <v>Митраков Константин Сергеевич;6-16Р007 /2016;142573;№6</v>
      </c>
      <c r="F313" s="50" t="b">
        <f t="shared" si="9"/>
        <v>1</v>
      </c>
      <c r="G313" s="50">
        <f>IF($F313,COUNTIF($F$1:$F313,TRUE),"")</f>
        <v>313</v>
      </c>
      <c r="H313" s="50" t="str">
        <f>IFERROR(INDEX(NameStudent,MATCH(ROWS($H$1:$H313),Index,0)),"")</f>
        <v>Митраков Константин Сергеевич;6-16Р007 /2016;142573;№6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127740</v>
      </c>
      <c r="B314" s="66" t="s">
        <v>112</v>
      </c>
      <c r="C314" s="63" t="s">
        <v>113</v>
      </c>
      <c r="D314" s="66" t="s">
        <v>55</v>
      </c>
      <c r="E314" s="50" t="str">
        <f t="shared" si="8"/>
        <v>Митрофанова Дарья Александровна;6-15Р135 /2015;127740;№6</v>
      </c>
      <c r="F314" s="50" t="b">
        <f t="shared" si="9"/>
        <v>1</v>
      </c>
      <c r="G314" s="50">
        <f>IF($F314,COUNTIF($F$1:$F314,TRUE),"")</f>
        <v>314</v>
      </c>
      <c r="H314" s="50" t="str">
        <f>IFERROR(INDEX(NameStudent,MATCH(ROWS($H$1:$H314),Index,0)),"")</f>
        <v>Митрофанова Дарья Александровна;6-15Р135 /2015;127740;№6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55">
        <v>815127</v>
      </c>
      <c r="B315" s="55" t="s">
        <v>717</v>
      </c>
      <c r="C315" s="58" t="s">
        <v>718</v>
      </c>
      <c r="D315" s="55" t="s">
        <v>55</v>
      </c>
      <c r="E315" s="50" t="str">
        <f t="shared" si="8"/>
        <v>Михайлов Алексей Олегович;6-18Р099/2018;815127;№6</v>
      </c>
      <c r="F315" s="50" t="b">
        <f t="shared" si="9"/>
        <v>1</v>
      </c>
      <c r="G315" s="50">
        <f>IF($F315,COUNTIF($F$1:$F315,TRUE),"")</f>
        <v>315</v>
      </c>
      <c r="H315" s="50" t="str">
        <f>IFERROR(INDEX(NameStudent,MATCH(ROWS($H$1:$H315),Index,0)),"")</f>
        <v>Михайлов Алексей Олегович;6-18Р099/2018;815127;№6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55">
        <v>815131</v>
      </c>
      <c r="B316" s="55" t="s">
        <v>719</v>
      </c>
      <c r="C316" s="58" t="s">
        <v>720</v>
      </c>
      <c r="D316" s="55" t="s">
        <v>55</v>
      </c>
      <c r="E316" s="50" t="str">
        <f t="shared" si="8"/>
        <v>Михайлов Даниил Александрович;6-18Р100/2018;815131;№6</v>
      </c>
      <c r="F316" s="50" t="b">
        <f t="shared" si="9"/>
        <v>1</v>
      </c>
      <c r="G316" s="50">
        <f>IF($F316,COUNTIF($F$1:$F316,TRUE),"")</f>
        <v>316</v>
      </c>
      <c r="H316" s="50" t="str">
        <f>IFERROR(INDEX(NameStudent,MATCH(ROWS($H$1:$H316),Index,0)),"")</f>
        <v>Михайлов Даниил Александрович;6-18Р100/2018;815131;№6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55">
        <v>820680</v>
      </c>
      <c r="B317" s="55" t="s">
        <v>929</v>
      </c>
      <c r="C317" s="58" t="s">
        <v>930</v>
      </c>
      <c r="D317" s="55" t="s">
        <v>55</v>
      </c>
      <c r="E317" s="50" t="str">
        <f t="shared" si="8"/>
        <v>Михайлов Роман Леонидович;6-14М145/2018;820680;№6</v>
      </c>
      <c r="F317" s="50" t="b">
        <f t="shared" si="9"/>
        <v>1</v>
      </c>
      <c r="G317" s="50">
        <f>IF($F317,COUNTIF($F$1:$F317,TRUE),"")</f>
        <v>317</v>
      </c>
      <c r="H317" s="50" t="str">
        <f>IFERROR(INDEX(NameStudent,MATCH(ROWS($H$1:$H317),Index,0)),"")</f>
        <v>Михайлов Роман Леонидович;6-14М145/2018;820680;№6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785443</v>
      </c>
      <c r="B318" s="66" t="s">
        <v>518</v>
      </c>
      <c r="C318" s="63" t="s">
        <v>519</v>
      </c>
      <c r="D318" s="66" t="s">
        <v>55</v>
      </c>
      <c r="E318" s="50" t="str">
        <f t="shared" si="8"/>
        <v>Михалев Александр Васильевич;6-17Р085 /2017;785443;№6</v>
      </c>
      <c r="F318" s="50" t="b">
        <f t="shared" si="9"/>
        <v>1</v>
      </c>
      <c r="G318" s="50">
        <f>IF($F318,COUNTIF($F$1:$F318,TRUE),"")</f>
        <v>318</v>
      </c>
      <c r="H318" s="50" t="str">
        <f>IFERROR(INDEX(NameStudent,MATCH(ROWS($H$1:$H318),Index,0)),"")</f>
        <v>Михалев Александр Васильевич;6-17Р085 /2017;785443;№6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143008</v>
      </c>
      <c r="B319" s="66" t="s">
        <v>270</v>
      </c>
      <c r="C319" s="63" t="s">
        <v>271</v>
      </c>
      <c r="D319" s="66" t="s">
        <v>55</v>
      </c>
      <c r="E319" s="50" t="str">
        <f t="shared" si="8"/>
        <v>Михеева Наталия Александровна;6-16Р117 /2016;143008;№6</v>
      </c>
      <c r="F319" s="50" t="b">
        <f t="shared" si="9"/>
        <v>1</v>
      </c>
      <c r="G319" s="50">
        <f>IF($F319,COUNTIF($F$1:$F319,TRUE),"")</f>
        <v>319</v>
      </c>
      <c r="H319" s="50" t="str">
        <f>IFERROR(INDEX(NameStudent,MATCH(ROWS($H$1:$H319),Index,0)),"")</f>
        <v>Михеева Наталия Александровна;6-16Р117 /2016;143008;№6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127746</v>
      </c>
      <c r="B320" s="66" t="s">
        <v>118</v>
      </c>
      <c r="C320" s="63" t="s">
        <v>119</v>
      </c>
      <c r="D320" s="66" t="s">
        <v>55</v>
      </c>
      <c r="E320" s="50" t="str">
        <f t="shared" si="8"/>
        <v>Мозгунова Анастасия Сергеевна;6-15Р136 /2015;127746;№6</v>
      </c>
      <c r="F320" s="50" t="b">
        <f t="shared" si="9"/>
        <v>1</v>
      </c>
      <c r="G320" s="50">
        <f>IF($F320,COUNTIF($F$1:$F320,TRUE),"")</f>
        <v>320</v>
      </c>
      <c r="H320" s="50" t="str">
        <f>IFERROR(INDEX(NameStudent,MATCH(ROWS($H$1:$H320),Index,0)),"")</f>
        <v>Мозгунова Анастасия Сергеевна;6-15Р136 /2015;127746;№6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127747</v>
      </c>
      <c r="B321" s="66" t="s">
        <v>120</v>
      </c>
      <c r="C321" s="63" t="s">
        <v>121</v>
      </c>
      <c r="D321" s="66" t="s">
        <v>55</v>
      </c>
      <c r="E321" s="50" t="str">
        <f t="shared" ref="E321:E384" si="10">LEFT(C321,IF(ISERROR(FIND(":",C321))=TRUE,LEN(C321),FIND(":",C321)-1)) &amp; ";" &amp; B321 &amp; ";" &amp; A321 &amp; ";" &amp;D321</f>
        <v>Молотков Иван Федорович;6-15Р054 /2015;127747;№6</v>
      </c>
      <c r="F321" s="50" t="b">
        <f t="shared" ref="F321:F384" si="11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Молотков Иван Федорович;6-15Р054 /2015;127747;№6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785082</v>
      </c>
      <c r="B322" s="57" t="s">
        <v>470</v>
      </c>
      <c r="C322" s="53" t="s">
        <v>471</v>
      </c>
      <c r="D322" s="57" t="s">
        <v>55</v>
      </c>
      <c r="E322" s="50" t="str">
        <f t="shared" si="10"/>
        <v>Морева Елизавета Ивановна;6-17Р190 /2017;785082;№6</v>
      </c>
      <c r="F322" s="50" t="b">
        <f t="shared" si="11"/>
        <v>1</v>
      </c>
      <c r="G322" s="50">
        <f>IF($F322,COUNTIF($F$1:$F322,TRUE),"")</f>
        <v>322</v>
      </c>
      <c r="H322" s="50" t="str">
        <f>IFERROR(INDEX(NameStudent,MATCH(ROWS($H$1:$H322),Index,0)),"")</f>
        <v>Морева Елизавета Ивановна;6-17Р190 /2017;785082;№6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784871</v>
      </c>
      <c r="B323" s="57" t="s">
        <v>388</v>
      </c>
      <c r="C323" s="53" t="s">
        <v>389</v>
      </c>
      <c r="D323" s="57" t="s">
        <v>55</v>
      </c>
      <c r="E323" s="50" t="str">
        <f t="shared" si="10"/>
        <v>Морозов Егор Сергеевич;6-17Р086 /2017;784871;№6</v>
      </c>
      <c r="F323" s="50" t="b">
        <f t="shared" si="11"/>
        <v>1</v>
      </c>
      <c r="G323" s="50">
        <f>IF($F323,COUNTIF($F$1:$F323,TRUE),"")</f>
        <v>323</v>
      </c>
      <c r="H323" s="50" t="str">
        <f>IFERROR(INDEX(NameStudent,MATCH(ROWS($H$1:$H323),Index,0)),"")</f>
        <v>Морозов Егор Сергеевич;6-17Р086 /2017;784871;№6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785083</v>
      </c>
      <c r="B324" s="57" t="s">
        <v>472</v>
      </c>
      <c r="C324" s="53" t="s">
        <v>473</v>
      </c>
      <c r="D324" s="57" t="s">
        <v>55</v>
      </c>
      <c r="E324" s="50" t="str">
        <f t="shared" si="10"/>
        <v>Морозова Елизавета Евгеньевна;6-17Р087 /2017;785083;№6</v>
      </c>
      <c r="F324" s="50" t="b">
        <f t="shared" si="11"/>
        <v>1</v>
      </c>
      <c r="G324" s="50">
        <f>IF($F324,COUNTIF($F$1:$F324,TRUE),"")</f>
        <v>324</v>
      </c>
      <c r="H324" s="50" t="str">
        <f>IFERROR(INDEX(NameStudent,MATCH(ROWS($H$1:$H324),Index,0)),"")</f>
        <v>Морозова Елизавета Евгеньевна;6-17Р087 /2017;785083;№6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67">
        <v>815133</v>
      </c>
      <c r="B325" s="67" t="s">
        <v>721</v>
      </c>
      <c r="C325" s="64" t="s">
        <v>722</v>
      </c>
      <c r="D325" s="67" t="s">
        <v>55</v>
      </c>
      <c r="E325" s="50" t="str">
        <f t="shared" si="10"/>
        <v>Морунков Максим Михайлович;6-18Р069/2018;815133;№6</v>
      </c>
      <c r="F325" s="50" t="b">
        <f t="shared" si="11"/>
        <v>1</v>
      </c>
      <c r="G325" s="50">
        <f>IF($F325,COUNTIF($F$1:$F325,TRUE),"")</f>
        <v>325</v>
      </c>
      <c r="H325" s="50" t="str">
        <f>IFERROR(INDEX(NameStudent,MATCH(ROWS($H$1:$H325),Index,0)),"")</f>
        <v>Морунков Максим Михайлович;6-18Р069/2018;815133;№6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67">
        <v>817783</v>
      </c>
      <c r="B326" s="67" t="s">
        <v>911</v>
      </c>
      <c r="C326" s="64" t="s">
        <v>912</v>
      </c>
      <c r="D326" s="67" t="s">
        <v>55</v>
      </c>
      <c r="E326" s="50" t="str">
        <f t="shared" si="10"/>
        <v>Мосякин Никита Сергеевич;6-15Р253/2018;817783;№6</v>
      </c>
      <c r="F326" s="50" t="b">
        <f t="shared" si="11"/>
        <v>1</v>
      </c>
      <c r="G326" s="50">
        <f>IF($F326,COUNTIF($F$1:$F326,TRUE),"")</f>
        <v>326</v>
      </c>
      <c r="H326" s="50" t="str">
        <f>IFERROR(INDEX(NameStudent,MATCH(ROWS($H$1:$H326),Index,0)),"")</f>
        <v>Мосякин Никита Сергеевич;6-15Р253/2018;817783;№6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67">
        <v>821386</v>
      </c>
      <c r="B327" s="67" t="s">
        <v>931</v>
      </c>
      <c r="C327" s="64" t="s">
        <v>932</v>
      </c>
      <c r="D327" s="67" t="s">
        <v>55</v>
      </c>
      <c r="E327" s="50" t="str">
        <f t="shared" si="10"/>
        <v>Мунин Евгений Николаевич;6-13М684/2018;821386;№6</v>
      </c>
      <c r="F327" s="50" t="b">
        <f t="shared" si="11"/>
        <v>1</v>
      </c>
      <c r="G327" s="50">
        <f>IF($F327,COUNTIF($F$1:$F327,TRUE),"")</f>
        <v>327</v>
      </c>
      <c r="H327" s="50" t="str">
        <f>IFERROR(INDEX(NameStudent,MATCH(ROWS($H$1:$H327),Index,0)),"")</f>
        <v>Мунин Евгений Николаевич;6-13М684/2018;821386;№6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56">
        <v>820686</v>
      </c>
      <c r="B328" s="57" t="s">
        <v>1187</v>
      </c>
      <c r="C328" s="53" t="s">
        <v>1188</v>
      </c>
      <c r="D328" s="57" t="s">
        <v>55</v>
      </c>
      <c r="E328" s="50" t="str">
        <f t="shared" si="10"/>
        <v>Мунхбаяр Наранбаяр  ;6-14ИР01/2018;820686;№6</v>
      </c>
      <c r="F328" s="50" t="b">
        <f t="shared" si="11"/>
        <v>1</v>
      </c>
      <c r="G328" s="50">
        <f>IF($F328,COUNTIF($F$1:$F328,TRUE),"")</f>
        <v>328</v>
      </c>
      <c r="H328" s="50" t="str">
        <f>IFERROR(INDEX(NameStudent,MATCH(ROWS($H$1:$H328),Index,0)),"")</f>
        <v>Мунхбаяр Наранбаяр  ;6-14ИР01/2018;820686;№6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56">
        <v>127754</v>
      </c>
      <c r="B329" s="57" t="s">
        <v>122</v>
      </c>
      <c r="C329" s="53" t="s">
        <v>123</v>
      </c>
      <c r="D329" s="57" t="s">
        <v>55</v>
      </c>
      <c r="E329" s="50" t="str">
        <f t="shared" si="10"/>
        <v>Муратов Кирилл Леонидович;6-15Р141 /2015;127754;№6</v>
      </c>
      <c r="F329" s="50" t="b">
        <f t="shared" si="11"/>
        <v>1</v>
      </c>
      <c r="G329" s="50">
        <f>IF($F329,COUNTIF($F$1:$F329,TRUE),"")</f>
        <v>329</v>
      </c>
      <c r="H329" s="50" t="str">
        <f>IFERROR(INDEX(NameStudent,MATCH(ROWS($H$1:$H329),Index,0)),"")</f>
        <v>Муратов Кирилл Леонидович;6-15Р141 /2015;127754;№6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820497</v>
      </c>
      <c r="B330" s="57" t="s">
        <v>1153</v>
      </c>
      <c r="C330" s="53" t="s">
        <v>1154</v>
      </c>
      <c r="D330" s="57" t="s">
        <v>55</v>
      </c>
      <c r="E330" s="50" t="str">
        <f t="shared" si="10"/>
        <v>Мурхиж Юшаа ;6-18ИМ27/2018;820497;№6</v>
      </c>
      <c r="F330" s="50" t="b">
        <f t="shared" si="11"/>
        <v>1</v>
      </c>
      <c r="G330" s="50">
        <f>IF($F330,COUNTIF($F$1:$F330,TRUE),"")</f>
        <v>330</v>
      </c>
      <c r="H330" s="50" t="str">
        <f>IFERROR(INDEX(NameStudent,MATCH(ROWS($H$1:$H330),Index,0)),"")</f>
        <v>Мурхиж Юшаа ;6-18ИМ27/2018;820497;№6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785084</v>
      </c>
      <c r="B331" s="57" t="s">
        <v>474</v>
      </c>
      <c r="C331" s="53" t="s">
        <v>475</v>
      </c>
      <c r="D331" s="57" t="s">
        <v>55</v>
      </c>
      <c r="E331" s="50" t="str">
        <f t="shared" si="10"/>
        <v>Мухаметьянова Гузель Альфридовна;6-17Р191 /2017;785084;№6</v>
      </c>
      <c r="F331" s="50" t="b">
        <f t="shared" si="11"/>
        <v>1</v>
      </c>
      <c r="G331" s="50">
        <f>IF($F331,COUNTIF($F$1:$F331,TRUE),"")</f>
        <v>331</v>
      </c>
      <c r="H331" s="50" t="str">
        <f>IFERROR(INDEX(NameStudent,MATCH(ROWS($H$1:$H331),Index,0)),"")</f>
        <v>Мухаметьянова Гузель Альфридовна;6-17Р191 /2017;785084;№6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56">
        <v>127755</v>
      </c>
      <c r="B332" s="57" t="s">
        <v>124</v>
      </c>
      <c r="C332" s="53" t="s">
        <v>125</v>
      </c>
      <c r="D332" s="57" t="s">
        <v>55</v>
      </c>
      <c r="E332" s="50" t="str">
        <f t="shared" si="10"/>
        <v>Мухутдинов Эдуард Альбертович;6-15Р056 /2015;127755;№6</v>
      </c>
      <c r="F332" s="50" t="b">
        <f t="shared" si="11"/>
        <v>1</v>
      </c>
      <c r="G332" s="50">
        <f>IF($F332,COUNTIF($F$1:$F332,TRUE),"")</f>
        <v>332</v>
      </c>
      <c r="H332" s="50" t="str">
        <f>IFERROR(INDEX(NameStudent,MATCH(ROWS($H$1:$H332),Index,0)),"")</f>
        <v>Мухутдинов Эдуард Альбертович;6-15Р056 /2015;127755;№6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56">
        <v>781180</v>
      </c>
      <c r="B333" s="57" t="s">
        <v>350</v>
      </c>
      <c r="C333" s="53" t="s">
        <v>351</v>
      </c>
      <c r="D333" s="57" t="s">
        <v>55</v>
      </c>
      <c r="E333" s="50" t="str">
        <f t="shared" si="10"/>
        <v>Мырзалиев Мухамед-Али Кайратович;6-15М035 /2017;781180;№6</v>
      </c>
      <c r="F333" s="50" t="b">
        <f t="shared" si="11"/>
        <v>1</v>
      </c>
      <c r="G333" s="50">
        <f>IF($F333,COUNTIF($F$1:$F333,TRUE),"")</f>
        <v>333</v>
      </c>
      <c r="H333" s="50" t="str">
        <f>IFERROR(INDEX(NameStudent,MATCH(ROWS($H$1:$H333),Index,0)),"")</f>
        <v>Мырзалиев Мухамед-Али Кайратович;6-15М035 /2017;781180;№6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56">
        <v>793656</v>
      </c>
      <c r="B334" s="57" t="s">
        <v>590</v>
      </c>
      <c r="C334" s="53" t="s">
        <v>591</v>
      </c>
      <c r="D334" s="57" t="s">
        <v>55</v>
      </c>
      <c r="E334" s="50" t="str">
        <f t="shared" si="10"/>
        <v>Мян Дмитрий Вячеславович;6-14М546/2017;793656;№6</v>
      </c>
      <c r="F334" s="50" t="b">
        <f t="shared" si="11"/>
        <v>1</v>
      </c>
      <c r="G334" s="50">
        <f>IF($F334,COUNTIF($F$1:$F334,TRUE),"")</f>
        <v>334</v>
      </c>
      <c r="H334" s="50" t="str">
        <f>IFERROR(INDEX(NameStudent,MATCH(ROWS($H$1:$H334),Index,0)),"")</f>
        <v>Мян Дмитрий Вячеславович;6-14М546/2017;793656;№6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820511</v>
      </c>
      <c r="B335" s="57" t="s">
        <v>1161</v>
      </c>
      <c r="C335" s="53" t="s">
        <v>1162</v>
      </c>
      <c r="D335" s="57" t="s">
        <v>55</v>
      </c>
      <c r="E335" s="50" t="str">
        <f t="shared" si="10"/>
        <v>Нагин Илья Олегович;6-18М616/2018;820511;№6</v>
      </c>
      <c r="F335" s="50" t="b">
        <f t="shared" si="11"/>
        <v>1</v>
      </c>
      <c r="G335" s="50">
        <f>IF($F335,COUNTIF($F$1:$F335,TRUE),"")</f>
        <v>335</v>
      </c>
      <c r="H335" s="50" t="str">
        <f>IFERROR(INDEX(NameStudent,MATCH(ROWS($H$1:$H335),Index,0)),"")</f>
        <v>Нагин Илья Олегович;6-18М616/2018;820511;№6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113614</v>
      </c>
      <c r="B336" s="57" t="s">
        <v>64</v>
      </c>
      <c r="C336" s="53" t="s">
        <v>65</v>
      </c>
      <c r="D336" s="57" t="s">
        <v>55</v>
      </c>
      <c r="E336" s="50" t="str">
        <f t="shared" si="10"/>
        <v>Назаров Александр Николаевич;6-14Р128/2014;113614;№6</v>
      </c>
      <c r="F336" s="50" t="b">
        <f t="shared" si="11"/>
        <v>1</v>
      </c>
      <c r="G336" s="50">
        <f>IF($F336,COUNTIF($F$1:$F336,TRUE),"")</f>
        <v>336</v>
      </c>
      <c r="H336" s="50" t="str">
        <f>IFERROR(INDEX(NameStudent,MATCH(ROWS($H$1:$H336),Index,0)),"")</f>
        <v>Назаров Александр Николаевич;6-14Р128/2014;113614;№6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816764</v>
      </c>
      <c r="B337" s="57" t="s">
        <v>1083</v>
      </c>
      <c r="C337" s="53" t="s">
        <v>1084</v>
      </c>
      <c r="D337" s="57" t="s">
        <v>55</v>
      </c>
      <c r="E337" s="50" t="str">
        <f t="shared" si="10"/>
        <v>Насыбулин Рифат Ильясович;6-17М597/2018;816764;№6</v>
      </c>
      <c r="F337" s="50" t="b">
        <f t="shared" si="11"/>
        <v>1</v>
      </c>
      <c r="G337" s="50">
        <f>IF($F337,COUNTIF($F$1:$F337,TRUE),"")</f>
        <v>337</v>
      </c>
      <c r="H337" s="50" t="str">
        <f>IFERROR(INDEX(NameStudent,MATCH(ROWS($H$1:$H337),Index,0)),"")</f>
        <v>Насыбулин Рифат Ильясович;6-17М597/2018;816764;№6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820502</v>
      </c>
      <c r="B338" s="57" t="s">
        <v>1155</v>
      </c>
      <c r="C338" s="53" t="s">
        <v>1156</v>
      </c>
      <c r="D338" s="57" t="s">
        <v>55</v>
      </c>
      <c r="E338" s="50" t="str">
        <f t="shared" si="10"/>
        <v>Нгуен Зуй Кыонг ;6-18ИМ30/2018;820502;№6</v>
      </c>
      <c r="F338" s="50" t="b">
        <f t="shared" si="11"/>
        <v>1</v>
      </c>
      <c r="G338" s="50">
        <f>IF($F338,COUNTIF($F$1:$F338,TRUE),"")</f>
        <v>338</v>
      </c>
      <c r="H338" s="50" t="str">
        <f>IFERROR(INDEX(NameStudent,MATCH(ROWS($H$1:$H338),Index,0)),"")</f>
        <v>Нгуен Зуй Кыонг ;6-18ИМ30/2018;820502;№6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56">
        <v>820506</v>
      </c>
      <c r="B339" s="57" t="s">
        <v>1157</v>
      </c>
      <c r="C339" s="53" t="s">
        <v>1158</v>
      </c>
      <c r="D339" s="57" t="s">
        <v>55</v>
      </c>
      <c r="E339" s="50" t="str">
        <f t="shared" si="10"/>
        <v>Нгуен Зыонг Ван Куок ;6-18ИМ31/2018;820506;№6</v>
      </c>
      <c r="F339" s="50" t="b">
        <f t="shared" si="11"/>
        <v>1</v>
      </c>
      <c r="G339" s="50">
        <f>IF($F339,COUNTIF($F$1:$F339,TRUE),"")</f>
        <v>339</v>
      </c>
      <c r="H339" s="50" t="str">
        <f>IFERROR(INDEX(NameStudent,MATCH(ROWS($H$1:$H339),Index,0)),"")</f>
        <v>Нгуен Зыонг Ван Куок ;6-18ИМ31/2018;820506;№6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785451</v>
      </c>
      <c r="B340" s="57" t="s">
        <v>520</v>
      </c>
      <c r="C340" s="53" t="s">
        <v>521</v>
      </c>
      <c r="D340" s="57" t="s">
        <v>55</v>
      </c>
      <c r="E340" s="50" t="str">
        <f t="shared" si="10"/>
        <v>Неверов Владимир Дмитриевич;6-15М073 /2017;785451;№6</v>
      </c>
      <c r="F340" s="50" t="b">
        <f t="shared" si="11"/>
        <v>1</v>
      </c>
      <c r="G340" s="50">
        <f>IF($F340,COUNTIF($F$1:$F340,TRUE),"")</f>
        <v>340</v>
      </c>
      <c r="H340" s="50" t="str">
        <f>IFERROR(INDEX(NameStudent,MATCH(ROWS($H$1:$H340),Index,0)),"")</f>
        <v>Неверов Владимир Дмитриевич;6-15М073 /2017;785451;№6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56">
        <v>127757</v>
      </c>
      <c r="B341" s="57" t="s">
        <v>126</v>
      </c>
      <c r="C341" s="53" t="s">
        <v>127</v>
      </c>
      <c r="D341" s="57" t="s">
        <v>55</v>
      </c>
      <c r="E341" s="50" t="str">
        <f t="shared" si="10"/>
        <v>Неклюдов Семен Александрович;6-15Р143 /2015;127757;№6</v>
      </c>
      <c r="F341" s="50" t="b">
        <f t="shared" si="11"/>
        <v>1</v>
      </c>
      <c r="G341" s="50">
        <f>IF($F341,COUNTIF($F$1:$F341,TRUE),"")</f>
        <v>341</v>
      </c>
      <c r="H341" s="50" t="str">
        <f>IFERROR(INDEX(NameStudent,MATCH(ROWS($H$1:$H341),Index,0)),"")</f>
        <v>Неклюдов Семен Александрович;6-15Р143 /2015;127757;№6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815135</v>
      </c>
      <c r="B342" s="67" t="s">
        <v>723</v>
      </c>
      <c r="C342" s="64" t="s">
        <v>724</v>
      </c>
      <c r="D342" s="67" t="s">
        <v>55</v>
      </c>
      <c r="E342" s="50" t="str">
        <f t="shared" si="10"/>
        <v>Немойкин Ярослав Владимирович;6-18Р161/2018;815135;№6</v>
      </c>
      <c r="F342" s="50" t="b">
        <f t="shared" si="11"/>
        <v>1</v>
      </c>
      <c r="G342" s="50">
        <f>IF($F342,COUNTIF($F$1:$F342,TRUE),"")</f>
        <v>342</v>
      </c>
      <c r="H342" s="50" t="str">
        <f>IFERROR(INDEX(NameStudent,MATCH(ROWS($H$1:$H342),Index,0)),"")</f>
        <v>Немойкин Ярослав Владимирович;6-18Р161/2018;815135;№6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67">
        <v>815139</v>
      </c>
      <c r="B343" s="67" t="s">
        <v>725</v>
      </c>
      <c r="C343" s="64" t="s">
        <v>726</v>
      </c>
      <c r="D343" s="67" t="s">
        <v>55</v>
      </c>
      <c r="E343" s="50" t="str">
        <f t="shared" si="10"/>
        <v>Никаноров Семён Сергеевич;6-18Р144/2018;815139;№6</v>
      </c>
      <c r="F343" s="50" t="b">
        <f t="shared" si="11"/>
        <v>1</v>
      </c>
      <c r="G343" s="50">
        <f>IF($F343,COUNTIF($F$1:$F343,TRUE),"")</f>
        <v>343</v>
      </c>
      <c r="H343" s="50" t="str">
        <f>IFERROR(INDEX(NameStudent,MATCH(ROWS($H$1:$H343),Index,0)),"")</f>
        <v>Никаноров Семён Сергеевич;6-18Р144/2018;815139;№6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785087</v>
      </c>
      <c r="B344" s="57" t="s">
        <v>476</v>
      </c>
      <c r="C344" s="53" t="s">
        <v>477</v>
      </c>
      <c r="D344" s="57" t="s">
        <v>55</v>
      </c>
      <c r="E344" s="50" t="str">
        <f t="shared" si="10"/>
        <v>Никишкин Марк Дмитриевич;6-17Р088 /2017;785087;№6</v>
      </c>
      <c r="F344" s="50" t="b">
        <f t="shared" si="11"/>
        <v>1</v>
      </c>
      <c r="G344" s="50">
        <f>IF($F344,COUNTIF($F$1:$F344,TRUE),"")</f>
        <v>344</v>
      </c>
      <c r="H344" s="50" t="str">
        <f>IFERROR(INDEX(NameStudent,MATCH(ROWS($H$1:$H344),Index,0)),"")</f>
        <v>Никишкин Марк Дмитриевич;6-17Р088 /2017;785087;№6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127766</v>
      </c>
      <c r="B345" s="57" t="s">
        <v>128</v>
      </c>
      <c r="C345" s="53" t="s">
        <v>129</v>
      </c>
      <c r="D345" s="57" t="s">
        <v>55</v>
      </c>
      <c r="E345" s="50" t="str">
        <f t="shared" si="10"/>
        <v>Николаева Мария Витальевна;6-15Р144 /2015;127766;№6</v>
      </c>
      <c r="F345" s="50" t="b">
        <f t="shared" si="11"/>
        <v>1</v>
      </c>
      <c r="G345" s="50">
        <f>IF($F345,COUNTIF($F$1:$F345,TRUE),"")</f>
        <v>345</v>
      </c>
      <c r="H345" s="50" t="str">
        <f>IFERROR(INDEX(NameStudent,MATCH(ROWS($H$1:$H345),Index,0)),"")</f>
        <v>Николаева Мария Витальевна;6-15Р144 /2015;127766;№6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67">
        <v>815143</v>
      </c>
      <c r="B346" s="67" t="s">
        <v>727</v>
      </c>
      <c r="C346" s="64" t="s">
        <v>728</v>
      </c>
      <c r="D346" s="67" t="s">
        <v>55</v>
      </c>
      <c r="E346" s="50" t="str">
        <f t="shared" si="10"/>
        <v>Николаева Ольга Игоревна;6-18Р101/2018;815143;№6</v>
      </c>
      <c r="F346" s="50" t="b">
        <f t="shared" si="11"/>
        <v>1</v>
      </c>
      <c r="G346" s="50">
        <f>IF($F346,COUNTIF($F$1:$F346,TRUE),"")</f>
        <v>346</v>
      </c>
      <c r="H346" s="50" t="str">
        <f>IFERROR(INDEX(NameStudent,MATCH(ROWS($H$1:$H346),Index,0)),"")</f>
        <v>Николаева Ольга Игоревна;6-18Р101/2018;815143;№6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827200</v>
      </c>
      <c r="B347" s="67" t="s">
        <v>969</v>
      </c>
      <c r="C347" s="64" t="s">
        <v>970</v>
      </c>
      <c r="D347" s="67" t="s">
        <v>55</v>
      </c>
      <c r="E347" s="50" t="str">
        <f t="shared" si="10"/>
        <v>Николина Екатерина Максимовна;6-17Р164/2019;827200;№6</v>
      </c>
      <c r="F347" s="50" t="b">
        <f t="shared" si="11"/>
        <v>1</v>
      </c>
      <c r="G347" s="50">
        <f>IF($F347,COUNTIF($F$1:$F347,TRUE),"")</f>
        <v>347</v>
      </c>
      <c r="H347" s="50" t="str">
        <f>IFERROR(INDEX(NameStudent,MATCH(ROWS($H$1:$H347),Index,0)),"")</f>
        <v>Николина Екатерина Максимовна;6-17Р164/2019;827200;№6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815145</v>
      </c>
      <c r="B348" s="67" t="s">
        <v>729</v>
      </c>
      <c r="C348" s="64" t="s">
        <v>730</v>
      </c>
      <c r="D348" s="67" t="s">
        <v>55</v>
      </c>
      <c r="E348" s="50" t="str">
        <f t="shared" si="10"/>
        <v>Новгородов Туйгун Александрович;6-18Р145/2018;815145;№6</v>
      </c>
      <c r="F348" s="50" t="b">
        <f t="shared" si="11"/>
        <v>1</v>
      </c>
      <c r="G348" s="50">
        <f>IF($F348,COUNTIF($F$1:$F348,TRUE),"")</f>
        <v>348</v>
      </c>
      <c r="H348" s="50" t="str">
        <f>IFERROR(INDEX(NameStudent,MATCH(ROWS($H$1:$H348),Index,0)),"")</f>
        <v>Новгородов Туйгун Александрович;6-18Р145/2018;815145;№6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113617</v>
      </c>
      <c r="B349" s="57" t="s">
        <v>66</v>
      </c>
      <c r="C349" s="53" t="s">
        <v>67</v>
      </c>
      <c r="D349" s="57" t="s">
        <v>55</v>
      </c>
      <c r="E349" s="50" t="str">
        <f t="shared" si="10"/>
        <v>Новиков Александр Васильевич;6-14Р085/2014;113617;№6</v>
      </c>
      <c r="F349" s="50" t="b">
        <f t="shared" si="11"/>
        <v>1</v>
      </c>
      <c r="G349" s="50">
        <f>IF($F349,COUNTIF($F$1:$F349,TRUE),"")</f>
        <v>349</v>
      </c>
      <c r="H349" s="50" t="str">
        <f>IFERROR(INDEX(NameStudent,MATCH(ROWS($H$1:$H349),Index,0)),"")</f>
        <v>Новиков Александр Васильевич;6-14Р085/2014;113617;№6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784873</v>
      </c>
      <c r="B350" s="57" t="s">
        <v>390</v>
      </c>
      <c r="C350" s="53" t="s">
        <v>391</v>
      </c>
      <c r="D350" s="57" t="s">
        <v>55</v>
      </c>
      <c r="E350" s="50" t="str">
        <f t="shared" si="10"/>
        <v>Новиков Виталий Александрович;6-17Р192 /2017;784873;№6</v>
      </c>
      <c r="F350" s="50" t="b">
        <f t="shared" si="11"/>
        <v>1</v>
      </c>
      <c r="G350" s="50">
        <f>IF($F350,COUNTIF($F$1:$F350,TRUE),"")</f>
        <v>350</v>
      </c>
      <c r="H350" s="50" t="str">
        <f>IFERROR(INDEX(NameStudent,MATCH(ROWS($H$1:$H350),Index,0)),"")</f>
        <v>Новиков Виталий Александрович;6-17Р192 /2017;784873;№6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56">
        <v>817785</v>
      </c>
      <c r="B351" s="57" t="s">
        <v>1031</v>
      </c>
      <c r="C351" s="53" t="s">
        <v>1032</v>
      </c>
      <c r="D351" s="57" t="s">
        <v>55</v>
      </c>
      <c r="E351" s="50" t="str">
        <f t="shared" si="10"/>
        <v>Новикова Ирина Александровна;6-18Р228/18;817785;№6</v>
      </c>
      <c r="F351" s="50" t="b">
        <f t="shared" si="11"/>
        <v>1</v>
      </c>
      <c r="G351" s="50">
        <f>IF($F351,COUNTIF($F$1:$F351,TRUE),"")</f>
        <v>351</v>
      </c>
      <c r="H351" s="50" t="str">
        <f>IFERROR(INDEX(NameStudent,MATCH(ROWS($H$1:$H351),Index,0)),"")</f>
        <v>Новикова Ирина Александровна;6-18Р228/18;817785;№6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56">
        <v>820509</v>
      </c>
      <c r="B352" s="57" t="s">
        <v>1159</v>
      </c>
      <c r="C352" s="53" t="s">
        <v>1160</v>
      </c>
      <c r="D352" s="57" t="s">
        <v>55</v>
      </c>
      <c r="E352" s="50" t="str">
        <f t="shared" si="10"/>
        <v>Норнг Чеалина ;6-18ИР02/2018;820509;№6</v>
      </c>
      <c r="F352" s="50" t="b">
        <f t="shared" si="11"/>
        <v>1</v>
      </c>
      <c r="G352" s="50">
        <f>IF($F352,COUNTIF($F$1:$F352,TRUE),"")</f>
        <v>352</v>
      </c>
      <c r="H352" s="50" t="str">
        <f>IFERROR(INDEX(NameStudent,MATCH(ROWS($H$1:$H352),Index,0)),"")</f>
        <v>Норнг Чеалина ;6-18ИР02/2018;820509;№6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56">
        <v>785453</v>
      </c>
      <c r="B353" s="57" t="s">
        <v>522</v>
      </c>
      <c r="C353" s="53" t="s">
        <v>523</v>
      </c>
      <c r="D353" s="57" t="s">
        <v>55</v>
      </c>
      <c r="E353" s="50" t="str">
        <f t="shared" si="10"/>
        <v>Нурапкин Антон Евгеньевич;6-17Р125 /2017;785453;№6</v>
      </c>
      <c r="F353" s="50" t="b">
        <f t="shared" si="11"/>
        <v>1</v>
      </c>
      <c r="G353" s="50">
        <f>IF($F353,COUNTIF($F$1:$F353,TRUE),"")</f>
        <v>353</v>
      </c>
      <c r="H353" s="50" t="str">
        <f>IFERROR(INDEX(NameStudent,MATCH(ROWS($H$1:$H353),Index,0)),"")</f>
        <v>Нурапкин Антон Евгеньевич;6-17Р125 /2017;785453;№6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67">
        <v>817771</v>
      </c>
      <c r="B354" s="67" t="s">
        <v>909</v>
      </c>
      <c r="C354" s="64" t="s">
        <v>910</v>
      </c>
      <c r="D354" s="67" t="s">
        <v>55</v>
      </c>
      <c r="E354" s="50" t="str">
        <f t="shared" si="10"/>
        <v>Обертас Эрик Олегович;6-17М206/2018;817771;№6</v>
      </c>
      <c r="F354" s="50" t="b">
        <f t="shared" si="11"/>
        <v>1</v>
      </c>
      <c r="G354" s="50">
        <f>IF($F354,COUNTIF($F$1:$F354,TRUE),"")</f>
        <v>354</v>
      </c>
      <c r="H354" s="50" t="str">
        <f>IFERROR(INDEX(NameStudent,MATCH(ROWS($H$1:$H354),Index,0)),"")</f>
        <v>Обертас Эрик Олегович;6-17М206/2018;817771;№6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815216</v>
      </c>
      <c r="B355" s="57" t="s">
        <v>985</v>
      </c>
      <c r="C355" s="53" t="s">
        <v>986</v>
      </c>
      <c r="D355" s="57" t="s">
        <v>55</v>
      </c>
      <c r="E355" s="50" t="str">
        <f t="shared" si="10"/>
        <v>Овакимян Аркадий Варданович;6-18Р258/18;815216;№6</v>
      </c>
      <c r="F355" s="50" t="b">
        <f t="shared" si="11"/>
        <v>1</v>
      </c>
      <c r="G355" s="50">
        <f>IF($F355,COUNTIF($F$1:$F355,TRUE),"")</f>
        <v>355</v>
      </c>
      <c r="H355" s="50" t="str">
        <f>IFERROR(INDEX(NameStudent,MATCH(ROWS($H$1:$H355),Index,0)),"")</f>
        <v>Овакимян Аркадий Варданович;6-18Р258/18;815216;№6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806256</v>
      </c>
      <c r="B356" s="57" t="s">
        <v>604</v>
      </c>
      <c r="C356" s="53" t="s">
        <v>605</v>
      </c>
      <c r="D356" s="57" t="s">
        <v>55</v>
      </c>
      <c r="E356" s="50" t="str">
        <f t="shared" si="10"/>
        <v>Оларь Антон Георгиевич;6-16М714/2018;806256;№6</v>
      </c>
      <c r="F356" s="50" t="b">
        <f t="shared" si="11"/>
        <v>1</v>
      </c>
      <c r="G356" s="50">
        <f>IF($F356,COUNTIF($F$1:$F356,TRUE),"")</f>
        <v>356</v>
      </c>
      <c r="H356" s="50" t="str">
        <f>IFERROR(INDEX(NameStudent,MATCH(ROWS($H$1:$H356),Index,0)),"")</f>
        <v>Оларь Антон Георгиевич;6-16М714/2018;806256;№6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67">
        <v>816879</v>
      </c>
      <c r="B357" s="67" t="s">
        <v>867</v>
      </c>
      <c r="C357" s="64" t="s">
        <v>868</v>
      </c>
      <c r="D357" s="67" t="s">
        <v>55</v>
      </c>
      <c r="E357" s="50" t="str">
        <f t="shared" si="10"/>
        <v>Олехов Даниил Витальевич;6-18Р125/2018;816879;№6</v>
      </c>
      <c r="F357" s="50" t="b">
        <f t="shared" si="11"/>
        <v>1</v>
      </c>
      <c r="G357" s="50">
        <f>IF($F357,COUNTIF($F$1:$F357,TRUE),"")</f>
        <v>357</v>
      </c>
      <c r="H357" s="50" t="str">
        <f>IFERROR(INDEX(NameStudent,MATCH(ROWS($H$1:$H357),Index,0)),"")</f>
        <v>Олехов Даниил Витальевич;6-18Р125/2018;816879;№6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815147</v>
      </c>
      <c r="B358" s="67" t="s">
        <v>731</v>
      </c>
      <c r="C358" s="64" t="s">
        <v>732</v>
      </c>
      <c r="D358" s="67" t="s">
        <v>55</v>
      </c>
      <c r="E358" s="50" t="str">
        <f t="shared" si="10"/>
        <v>Ольхов Егор Олегович;6-18Р026/2018;815147;№6</v>
      </c>
      <c r="F358" s="50" t="b">
        <f t="shared" si="11"/>
        <v>1</v>
      </c>
      <c r="G358" s="50">
        <f>IF($F358,COUNTIF($F$1:$F358,TRUE),"")</f>
        <v>358</v>
      </c>
      <c r="H358" s="50" t="str">
        <f>IFERROR(INDEX(NameStudent,MATCH(ROWS($H$1:$H358),Index,0)),"")</f>
        <v>Ольхов Егор Олегович;6-18Р026/2018;815147;№6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56">
        <v>113618</v>
      </c>
      <c r="B359" s="57" t="s">
        <v>68</v>
      </c>
      <c r="C359" s="53" t="s">
        <v>69</v>
      </c>
      <c r="D359" s="57" t="s">
        <v>55</v>
      </c>
      <c r="E359" s="50" t="str">
        <f t="shared" si="10"/>
        <v>Опарин Игорь Викторович;6-14Р087/2014;113618;№6</v>
      </c>
      <c r="F359" s="50" t="b">
        <f t="shared" si="11"/>
        <v>1</v>
      </c>
      <c r="G359" s="50">
        <f>IF($F359,COUNTIF($F$1:$F359,TRUE),"")</f>
        <v>359</v>
      </c>
      <c r="H359" s="50" t="str">
        <f>IFERROR(INDEX(NameStudent,MATCH(ROWS($H$1:$H359),Index,0)),"")</f>
        <v>Опарин Игорь Викторович;6-14Р087/2014;113618;№6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817788</v>
      </c>
      <c r="B360" s="57" t="s">
        <v>1033</v>
      </c>
      <c r="C360" s="53" t="s">
        <v>1034</v>
      </c>
      <c r="D360" s="57" t="s">
        <v>55</v>
      </c>
      <c r="E360" s="50" t="str">
        <f t="shared" si="10"/>
        <v>Орехова Вероника Максимовна;6-18Р229/18;817788;№6</v>
      </c>
      <c r="F360" s="50" t="b">
        <f t="shared" si="11"/>
        <v>1</v>
      </c>
      <c r="G360" s="50">
        <f>IF($F360,COUNTIF($F$1:$F360,TRUE),"")</f>
        <v>360</v>
      </c>
      <c r="H360" s="50" t="str">
        <f>IFERROR(INDEX(NameStudent,MATCH(ROWS($H$1:$H360),Index,0)),"")</f>
        <v>Орехова Вероника Максимовна;6-18Р229/18;817788;№6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56">
        <v>822715</v>
      </c>
      <c r="B361" s="57" t="s">
        <v>1195</v>
      </c>
      <c r="C361" s="53" t="s">
        <v>1196</v>
      </c>
      <c r="D361" s="57" t="s">
        <v>55</v>
      </c>
      <c r="E361" s="50" t="str">
        <f t="shared" si="10"/>
        <v>Ориа Франсуа Стефан Клод  ;6-18ИМ68/2018;822715;№6</v>
      </c>
      <c r="F361" s="50" t="b">
        <f t="shared" si="11"/>
        <v>1</v>
      </c>
      <c r="G361" s="50">
        <f>IF($F361,COUNTIF($F$1:$F361,TRUE),"")</f>
        <v>361</v>
      </c>
      <c r="H361" s="50" t="str">
        <f>IFERROR(INDEX(NameStudent,MATCH(ROWS($H$1:$H361),Index,0)),"")</f>
        <v>Ориа Франсуа Стефан Клод  ;6-18ИМ68/2018;822715;№6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56">
        <v>149101</v>
      </c>
      <c r="B362" s="57" t="s">
        <v>332</v>
      </c>
      <c r="C362" s="53" t="s">
        <v>333</v>
      </c>
      <c r="D362" s="57" t="s">
        <v>55</v>
      </c>
      <c r="E362" s="50" t="str">
        <f t="shared" si="10"/>
        <v>Орлов Антон Евгеньевич;6-13А022 /2016;149101;№6</v>
      </c>
      <c r="F362" s="50" t="b">
        <f t="shared" si="11"/>
        <v>1</v>
      </c>
      <c r="G362" s="50">
        <f>IF($F362,COUNTIF($F$1:$F362,TRUE),"")</f>
        <v>362</v>
      </c>
      <c r="H362" s="50" t="str">
        <f>IFERROR(INDEX(NameStudent,MATCH(ROWS($H$1:$H362),Index,0)),"")</f>
        <v>Орлов Антон Евгеньевич;6-13А022 /2016;149101;№6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143019</v>
      </c>
      <c r="B363" s="57" t="s">
        <v>272</v>
      </c>
      <c r="C363" s="53" t="s">
        <v>273</v>
      </c>
      <c r="D363" s="57" t="s">
        <v>55</v>
      </c>
      <c r="E363" s="50" t="str">
        <f t="shared" si="10"/>
        <v>Осипова Маргарита Сергеевна;6-16Р047 /2016;143019;№6</v>
      </c>
      <c r="F363" s="50" t="b">
        <f t="shared" si="11"/>
        <v>1</v>
      </c>
      <c r="G363" s="50">
        <f>IF($F363,COUNTIF($F$1:$F363,TRUE),"")</f>
        <v>363</v>
      </c>
      <c r="H363" s="50" t="str">
        <f>IFERROR(INDEX(NameStudent,MATCH(ROWS($H$1:$H363),Index,0)),"")</f>
        <v>Осипова Маргарита Сергеевна;6-16Р047 /2016;143019;№6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820675</v>
      </c>
      <c r="B364" s="67" t="s">
        <v>925</v>
      </c>
      <c r="C364" s="64" t="s">
        <v>926</v>
      </c>
      <c r="D364" s="67" t="s">
        <v>55</v>
      </c>
      <c r="E364" s="50" t="str">
        <f t="shared" si="10"/>
        <v>Оськин Алексей Александрович;6-18Р045/2018;820675;№6</v>
      </c>
      <c r="F364" s="50" t="b">
        <f t="shared" si="11"/>
        <v>1</v>
      </c>
      <c r="G364" s="50">
        <f>IF($F364,COUNTIF($F$1:$F364,TRUE),"")</f>
        <v>364</v>
      </c>
      <c r="H364" s="50" t="str">
        <f>IFERROR(INDEX(NameStudent,MATCH(ROWS($H$1:$H364),Index,0)),"")</f>
        <v>Оськин Алексей Александрович;6-18Р045/2018;820675;№6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67">
        <v>815150</v>
      </c>
      <c r="B365" s="67" t="s">
        <v>733</v>
      </c>
      <c r="C365" s="64" t="s">
        <v>734</v>
      </c>
      <c r="D365" s="67" t="s">
        <v>55</v>
      </c>
      <c r="E365" s="50" t="str">
        <f t="shared" si="10"/>
        <v>Охрименко Роман Константинович;6-18Р070/2018;815150;№6</v>
      </c>
      <c r="F365" s="50" t="b">
        <f t="shared" si="11"/>
        <v>1</v>
      </c>
      <c r="G365" s="50">
        <f>IF($F365,COUNTIF($F$1:$F365,TRUE),"")</f>
        <v>365</v>
      </c>
      <c r="H365" s="50" t="str">
        <f>IFERROR(INDEX(NameStudent,MATCH(ROWS($H$1:$H365),Index,0)),"")</f>
        <v>Охрименко Роман Константинович;6-18Р070/2018;815150;№6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785454</v>
      </c>
      <c r="B366" s="57" t="s">
        <v>524</v>
      </c>
      <c r="C366" s="53" t="s">
        <v>525</v>
      </c>
      <c r="D366" s="57" t="s">
        <v>55</v>
      </c>
      <c r="E366" s="50" t="str">
        <f t="shared" si="10"/>
        <v>Ошкина Елена Владимировна;6-17РМ036 /2017;785454;№6</v>
      </c>
      <c r="F366" s="50" t="b">
        <f t="shared" si="11"/>
        <v>1</v>
      </c>
      <c r="G366" s="50">
        <f>IF($F366,COUNTIF($F$1:$F366,TRUE),"")</f>
        <v>366</v>
      </c>
      <c r="H366" s="50" t="str">
        <f>IFERROR(INDEX(NameStudent,MATCH(ROWS($H$1:$H366),Index,0)),"")</f>
        <v>Ошкина Елена Владимировна;6-17РМ036 /2017;785454;№6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815589</v>
      </c>
      <c r="B367" s="57" t="s">
        <v>991</v>
      </c>
      <c r="C367" s="53" t="s">
        <v>992</v>
      </c>
      <c r="D367" s="57" t="s">
        <v>55</v>
      </c>
      <c r="E367" s="50" t="str">
        <f t="shared" si="10"/>
        <v>Павленко Антон Александрович;6-18Р230/18;815589;№6</v>
      </c>
      <c r="F367" s="50" t="b">
        <f t="shared" si="11"/>
        <v>1</v>
      </c>
      <c r="G367" s="50">
        <f>IF($F367,COUNTIF($F$1:$F367,TRUE),"")</f>
        <v>367</v>
      </c>
      <c r="H367" s="50" t="str">
        <f>IFERROR(INDEX(NameStudent,MATCH(ROWS($H$1:$H367),Index,0)),"")</f>
        <v>Павленко Антон Александрович;6-18Р230/18;815589;№6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56">
        <v>143031</v>
      </c>
      <c r="B368" s="57" t="s">
        <v>276</v>
      </c>
      <c r="C368" s="53" t="s">
        <v>277</v>
      </c>
      <c r="D368" s="57" t="s">
        <v>55</v>
      </c>
      <c r="E368" s="50" t="str">
        <f t="shared" si="10"/>
        <v>Павленков Константин Эдуардович;6-16Р120 /2016;143031;№6</v>
      </c>
      <c r="F368" s="50" t="b">
        <f t="shared" si="11"/>
        <v>1</v>
      </c>
      <c r="G368" s="50">
        <f>IF($F368,COUNTIF($F$1:$F368,TRUE),"")</f>
        <v>368</v>
      </c>
      <c r="H368" s="50" t="str">
        <f>IFERROR(INDEX(NameStudent,MATCH(ROWS($H$1:$H368),Index,0)),"")</f>
        <v>Павленков Константин Эдуардович;6-16Р120 /2016;143031;№6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817804</v>
      </c>
      <c r="B369" s="57" t="s">
        <v>1043</v>
      </c>
      <c r="C369" s="53" t="s">
        <v>1044</v>
      </c>
      <c r="D369" s="57" t="s">
        <v>55</v>
      </c>
      <c r="E369" s="50" t="str">
        <f t="shared" si="10"/>
        <v>Павлов Данила Андреевич;6-18Р260/18;817804;№6</v>
      </c>
      <c r="F369" s="50" t="b">
        <f t="shared" si="11"/>
        <v>1</v>
      </c>
      <c r="G369" s="50">
        <f>IF($F369,COUNTIF($F$1:$F369,TRUE),"")</f>
        <v>369</v>
      </c>
      <c r="H369" s="50" t="str">
        <f>IFERROR(INDEX(NameStudent,MATCH(ROWS($H$1:$H369),Index,0)),"")</f>
        <v>Павлов Данила Андреевич;6-18Р260/18;817804;№6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67">
        <v>815154</v>
      </c>
      <c r="B370" s="67" t="s">
        <v>735</v>
      </c>
      <c r="C370" s="64" t="s">
        <v>736</v>
      </c>
      <c r="D370" s="67" t="s">
        <v>55</v>
      </c>
      <c r="E370" s="50" t="str">
        <f t="shared" si="10"/>
        <v>Павлов Семен Андреевич;6-18Р071/2018;815154;№6</v>
      </c>
      <c r="F370" s="50" t="b">
        <f t="shared" si="11"/>
        <v>1</v>
      </c>
      <c r="G370" s="50">
        <f>IF($F370,COUNTIF($F$1:$F370,TRUE),"")</f>
        <v>370</v>
      </c>
      <c r="H370" s="50" t="str">
        <f>IFERROR(INDEX(NameStudent,MATCH(ROWS($H$1:$H370),Index,0)),"")</f>
        <v>Павлов Семен Андреевич;6-18Р071/2018;815154;№6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67">
        <v>819568</v>
      </c>
      <c r="B371" s="67" t="s">
        <v>915</v>
      </c>
      <c r="C371" s="64" t="s">
        <v>916</v>
      </c>
      <c r="D371" s="67" t="s">
        <v>55</v>
      </c>
      <c r="E371" s="50" t="str">
        <f t="shared" si="10"/>
        <v>Павлова Елена Евгеньевна;6-13Р013/2018;819568;№6</v>
      </c>
      <c r="F371" s="50" t="b">
        <f t="shared" si="11"/>
        <v>1</v>
      </c>
      <c r="G371" s="50">
        <f>IF($F371,COUNTIF($F$1:$F371,TRUE),"")</f>
        <v>371</v>
      </c>
      <c r="H371" s="50" t="str">
        <f>IFERROR(INDEX(NameStudent,MATCH(ROWS($H$1:$H371),Index,0)),"")</f>
        <v>Павлова Елена Евгеньевна;6-13Р013/2018;819568;№6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815159</v>
      </c>
      <c r="B372" s="67" t="s">
        <v>737</v>
      </c>
      <c r="C372" s="64" t="s">
        <v>738</v>
      </c>
      <c r="D372" s="67" t="s">
        <v>55</v>
      </c>
      <c r="E372" s="50" t="str">
        <f t="shared" si="10"/>
        <v>Павлова Изабелла Игоревна;6-18Р050/2018;815159;№6</v>
      </c>
      <c r="F372" s="50" t="b">
        <f t="shared" si="11"/>
        <v>1</v>
      </c>
      <c r="G372" s="50">
        <f>IF($F372,COUNTIF($F$1:$F372,TRUE),"")</f>
        <v>372</v>
      </c>
      <c r="H372" s="50" t="str">
        <f>IFERROR(INDEX(NameStudent,MATCH(ROWS($H$1:$H372),Index,0)),"")</f>
        <v>Павлова Изабелла Игоревна;6-18Р050/2018;815159;№6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785100</v>
      </c>
      <c r="B373" s="57" t="s">
        <v>480</v>
      </c>
      <c r="C373" s="53" t="s">
        <v>481</v>
      </c>
      <c r="D373" s="57" t="s">
        <v>55</v>
      </c>
      <c r="E373" s="50" t="str">
        <f t="shared" si="10"/>
        <v>Палухин Алексей Евгеньевич;6-17Р193 /2017;785100;№6</v>
      </c>
      <c r="F373" s="50" t="b">
        <f t="shared" si="11"/>
        <v>1</v>
      </c>
      <c r="G373" s="50">
        <f>IF($F373,COUNTIF($F$1:$F373,TRUE),"")</f>
        <v>373</v>
      </c>
      <c r="H373" s="50" t="str">
        <f>IFERROR(INDEX(NameStudent,MATCH(ROWS($H$1:$H373),Index,0)),"")</f>
        <v>Палухин Алексей Евгеньевич;6-17Р193 /2017;785100;№6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127785</v>
      </c>
      <c r="B374" s="57" t="s">
        <v>136</v>
      </c>
      <c r="C374" s="53" t="s">
        <v>137</v>
      </c>
      <c r="D374" s="57" t="s">
        <v>55</v>
      </c>
      <c r="E374" s="50" t="str">
        <f t="shared" si="10"/>
        <v>Панков Кирилл Романович;6-15Р192 /2015;127785;№6</v>
      </c>
      <c r="F374" s="50" t="b">
        <f t="shared" si="11"/>
        <v>1</v>
      </c>
      <c r="G374" s="50">
        <f>IF($F374,COUNTIF($F$1:$F374,TRUE),"")</f>
        <v>374</v>
      </c>
      <c r="H374" s="50" t="str">
        <f>IFERROR(INDEX(NameStudent,MATCH(ROWS($H$1:$H374),Index,0)),"")</f>
        <v>Панков Кирилл Романович;6-15Р192 /2015;127785;№6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56">
        <v>785460</v>
      </c>
      <c r="B375" s="57" t="s">
        <v>528</v>
      </c>
      <c r="C375" s="53" t="s">
        <v>529</v>
      </c>
      <c r="D375" s="57" t="s">
        <v>55</v>
      </c>
      <c r="E375" s="50" t="str">
        <f t="shared" si="10"/>
        <v>Панов Владислав Олегович;6-16М390 /2017;785460;№6</v>
      </c>
      <c r="F375" s="50" t="b">
        <f t="shared" si="11"/>
        <v>1</v>
      </c>
      <c r="G375" s="50">
        <f>IF($F375,COUNTIF($F$1:$F375,TRUE),"")</f>
        <v>375</v>
      </c>
      <c r="H375" s="50" t="str">
        <f>IFERROR(INDEX(NameStudent,MATCH(ROWS($H$1:$H375),Index,0)),"")</f>
        <v>Панов Владислав Олегович;6-16М390 /2017;785460;№6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817792</v>
      </c>
      <c r="B376" s="57" t="s">
        <v>1035</v>
      </c>
      <c r="C376" s="53" t="s">
        <v>1036</v>
      </c>
      <c r="D376" s="57" t="s">
        <v>55</v>
      </c>
      <c r="E376" s="50" t="str">
        <f t="shared" si="10"/>
        <v>Панфёров Никита Юрьевич;6-18Р231/18;817792;№6</v>
      </c>
      <c r="F376" s="50" t="b">
        <f t="shared" si="11"/>
        <v>1</v>
      </c>
      <c r="G376" s="50">
        <f>IF($F376,COUNTIF($F$1:$F376,TRUE),"")</f>
        <v>376</v>
      </c>
      <c r="H376" s="50" t="str">
        <f>IFERROR(INDEX(NameStudent,MATCH(ROWS($H$1:$H376),Index,0)),"")</f>
        <v>Панфёров Никита Юрьевич;6-18Р231/18;817792;№6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143022</v>
      </c>
      <c r="B377" s="57" t="s">
        <v>274</v>
      </c>
      <c r="C377" s="53" t="s">
        <v>275</v>
      </c>
      <c r="D377" s="57" t="s">
        <v>55</v>
      </c>
      <c r="E377" s="50" t="str">
        <f t="shared" si="10"/>
        <v>Панютина Татьяна Леонидовна;6-16Р009 /2016;143022;№6</v>
      </c>
      <c r="F377" s="50" t="b">
        <f t="shared" si="11"/>
        <v>1</v>
      </c>
      <c r="G377" s="50">
        <f>IF($F377,COUNTIF($F$1:$F377,TRUE),"")</f>
        <v>377</v>
      </c>
      <c r="H377" s="50" t="str">
        <f>IFERROR(INDEX(NameStudent,MATCH(ROWS($H$1:$H377),Index,0)),"")</f>
        <v>Панютина Татьяна Леонидовна;6-16Р009 /2016;143022;№6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67">
        <v>815162</v>
      </c>
      <c r="B378" s="67" t="s">
        <v>739</v>
      </c>
      <c r="C378" s="64" t="s">
        <v>740</v>
      </c>
      <c r="D378" s="67" t="s">
        <v>55</v>
      </c>
      <c r="E378" s="50" t="str">
        <f t="shared" si="10"/>
        <v>Парфенов Алексей Алексеевич;6-18Р102/2018;815162;№6</v>
      </c>
      <c r="F378" s="50" t="b">
        <f t="shared" si="11"/>
        <v>1</v>
      </c>
      <c r="G378" s="50">
        <f>IF($F378,COUNTIF($F$1:$F378,TRUE),"")</f>
        <v>378</v>
      </c>
      <c r="H378" s="50" t="str">
        <f>IFERROR(INDEX(NameStudent,MATCH(ROWS($H$1:$H378),Index,0)),"")</f>
        <v>Парфенов Алексей Алексеевич;6-18Р102/2018;815162;№6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67">
        <v>815168</v>
      </c>
      <c r="B379" s="67" t="s">
        <v>741</v>
      </c>
      <c r="C379" s="64" t="s">
        <v>742</v>
      </c>
      <c r="D379" s="67" t="s">
        <v>55</v>
      </c>
      <c r="E379" s="50" t="str">
        <f t="shared" si="10"/>
        <v>Пасютин Никита Васильевич;6-18Р072/2018;815168;№6</v>
      </c>
      <c r="F379" s="50" t="b">
        <f t="shared" si="11"/>
        <v>1</v>
      </c>
      <c r="G379" s="50">
        <f>IF($F379,COUNTIF($F$1:$F379,TRUE),"")</f>
        <v>379</v>
      </c>
      <c r="H379" s="50" t="str">
        <f>IFERROR(INDEX(NameStudent,MATCH(ROWS($H$1:$H379),Index,0)),"")</f>
        <v>Пасютин Никита Васильевич;6-18Р072/2018;815168;№6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127783</v>
      </c>
      <c r="B380" s="57" t="s">
        <v>134</v>
      </c>
      <c r="C380" s="53" t="s">
        <v>135</v>
      </c>
      <c r="D380" s="57" t="s">
        <v>55</v>
      </c>
      <c r="E380" s="50" t="str">
        <f t="shared" si="10"/>
        <v>Переведенцева Елизавета Юрьевна;6-15Ю029 /2015;127783;№6</v>
      </c>
      <c r="F380" s="50" t="b">
        <f t="shared" si="11"/>
        <v>1</v>
      </c>
      <c r="G380" s="50">
        <f>IF($F380,COUNTIF($F$1:$F380,TRUE),"")</f>
        <v>380</v>
      </c>
      <c r="H380" s="50" t="str">
        <f>IFERROR(INDEX(NameStudent,MATCH(ROWS($H$1:$H380),Index,0)),"")</f>
        <v>Переведенцева Елизавета Юрьевна;6-15Ю029 /2015;127783;№6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67">
        <v>815170</v>
      </c>
      <c r="B381" s="67" t="s">
        <v>743</v>
      </c>
      <c r="C381" s="64" t="s">
        <v>744</v>
      </c>
      <c r="D381" s="67" t="s">
        <v>55</v>
      </c>
      <c r="E381" s="50" t="str">
        <f t="shared" si="10"/>
        <v>Петренко Модест Евгеньевич;6-18Р193/2018;815170;№6</v>
      </c>
      <c r="F381" s="50" t="b">
        <f t="shared" si="11"/>
        <v>1</v>
      </c>
      <c r="G381" s="50">
        <f>IF($F381,COUNTIF($F$1:$F381,TRUE),"")</f>
        <v>381</v>
      </c>
      <c r="H381" s="50" t="str">
        <f>IFERROR(INDEX(NameStudent,MATCH(ROWS($H$1:$H381),Index,0)),"")</f>
        <v>Петренко Модест Евгеньевич;6-18Р193/2018;815170;№6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67">
        <v>815172</v>
      </c>
      <c r="B382" s="67" t="s">
        <v>745</v>
      </c>
      <c r="C382" s="64" t="s">
        <v>746</v>
      </c>
      <c r="D382" s="67" t="s">
        <v>55</v>
      </c>
      <c r="E382" s="50" t="str">
        <f t="shared" si="10"/>
        <v>Петриков Евгений Константинович;6-18Р103/2018;815172;№6</v>
      </c>
      <c r="F382" s="50" t="b">
        <f t="shared" si="11"/>
        <v>1</v>
      </c>
      <c r="G382" s="50">
        <f>IF($F382,COUNTIF($F$1:$F382,TRUE),"")</f>
        <v>382</v>
      </c>
      <c r="H382" s="50" t="str">
        <f>IFERROR(INDEX(NameStudent,MATCH(ROWS($H$1:$H382),Index,0)),"")</f>
        <v>Петриков Евгений Константинович;6-18Р103/2018;815172;№6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149111</v>
      </c>
      <c r="B383" s="57" t="s">
        <v>334</v>
      </c>
      <c r="C383" s="53" t="s">
        <v>335</v>
      </c>
      <c r="D383" s="57" t="s">
        <v>55</v>
      </c>
      <c r="E383" s="50" t="str">
        <f t="shared" si="10"/>
        <v>Пилипенко Андрей Александрович;6-13А023 /2016;149111;№6</v>
      </c>
      <c r="F383" s="50" t="b">
        <f t="shared" si="11"/>
        <v>1</v>
      </c>
      <c r="G383" s="50">
        <f>IF($F383,COUNTIF($F$1:$F383,TRUE),"")</f>
        <v>383</v>
      </c>
      <c r="H383" s="50" t="str">
        <f>IFERROR(INDEX(NameStudent,MATCH(ROWS($H$1:$H383),Index,0)),"")</f>
        <v>Пилипенко Андрей Александрович;6-13А023 /2016;149111;№6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67">
        <v>816857</v>
      </c>
      <c r="B384" s="67" t="s">
        <v>857</v>
      </c>
      <c r="C384" s="64" t="s">
        <v>858</v>
      </c>
      <c r="D384" s="67" t="s">
        <v>55</v>
      </c>
      <c r="E384" s="50" t="str">
        <f t="shared" si="10"/>
        <v>Пилипенко Галина Сергеевна;6-18РМ047/2018;816857;№6</v>
      </c>
      <c r="F384" s="50" t="b">
        <f t="shared" si="11"/>
        <v>1</v>
      </c>
      <c r="G384" s="50">
        <f>IF($F384,COUNTIF($F$1:$F384,TRUE),"")</f>
        <v>384</v>
      </c>
      <c r="H384" s="50" t="str">
        <f>IFERROR(INDEX(NameStudent,MATCH(ROWS($H$1:$H384),Index,0)),"")</f>
        <v>Пилипенко Галина Сергеевна;6-18РМ047/2018;816857;№6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785458</v>
      </c>
      <c r="B385" s="57" t="s">
        <v>526</v>
      </c>
      <c r="C385" s="53" t="s">
        <v>527</v>
      </c>
      <c r="D385" s="57" t="s">
        <v>55</v>
      </c>
      <c r="E385" s="50" t="str">
        <f t="shared" ref="E385:E448" si="12">LEFT(C385,IF(ISERROR(FIND(":",C385))=TRUE,LEN(C385),FIND(":",C385)-1)) &amp; ";" &amp; B385 &amp; ";" &amp; A385 &amp; ";" &amp;D385</f>
        <v>Пионтковский Артём Алексеевич;6-14М295 /2017;785458;№6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Пионтковский Артём Алексеевич;6-14М295 /2017;785458;№6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127774</v>
      </c>
      <c r="B386" s="57" t="s">
        <v>132</v>
      </c>
      <c r="C386" s="53" t="s">
        <v>133</v>
      </c>
      <c r="D386" s="57" t="s">
        <v>55</v>
      </c>
      <c r="E386" s="50" t="str">
        <f t="shared" si="12"/>
        <v>Писарев Александр Дмитриевич;6-15Р150 /2015;127774;№6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Писарев Александр Дмитриевич;6-15Р150 /2015;127774;№6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817802</v>
      </c>
      <c r="B387" s="57" t="s">
        <v>1041</v>
      </c>
      <c r="C387" s="53" t="s">
        <v>1042</v>
      </c>
      <c r="D387" s="57" t="s">
        <v>55</v>
      </c>
      <c r="E387" s="50" t="str">
        <f t="shared" si="12"/>
        <v>Письменная Ксения Романовна;6-18Р270/18;817802;№6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Письменная Ксения Романовна;6-18Р270/18;817802;№6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789908</v>
      </c>
      <c r="B388" s="57" t="s">
        <v>578</v>
      </c>
      <c r="C388" s="53" t="s">
        <v>579</v>
      </c>
      <c r="D388" s="57" t="s">
        <v>55</v>
      </c>
      <c r="E388" s="50" t="str">
        <f t="shared" si="12"/>
        <v>Плешаков Антон Александрович;6-16Р274 /2017;789908;№6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Плешаков Антон Александрович;6-16Р274 /2017;789908;№6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67">
        <v>816832</v>
      </c>
      <c r="B389" s="67" t="s">
        <v>841</v>
      </c>
      <c r="C389" s="64" t="s">
        <v>842</v>
      </c>
      <c r="D389" s="67" t="s">
        <v>55</v>
      </c>
      <c r="E389" s="50" t="str">
        <f t="shared" si="12"/>
        <v>Подлосинская Анастасия Петровна;6-17Э428/2018;816832;№6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Подлосинская Анастасия Петровна;6-17Э428/2018;816832;№6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801860</v>
      </c>
      <c r="B390" s="57" t="s">
        <v>596</v>
      </c>
      <c r="C390" s="53" t="s">
        <v>597</v>
      </c>
      <c r="D390" s="57" t="s">
        <v>55</v>
      </c>
      <c r="E390" s="50" t="str">
        <f t="shared" si="12"/>
        <v>Подольский Александр Игоревич;6-16Р294/2017;801860;№6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Подольский Александр Игоревич;6-16Р294/2017;801860;№6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56">
        <v>821399</v>
      </c>
      <c r="B391" s="57" t="s">
        <v>1191</v>
      </c>
      <c r="C391" s="53" t="s">
        <v>1192</v>
      </c>
      <c r="D391" s="57" t="s">
        <v>55</v>
      </c>
      <c r="E391" s="50" t="str">
        <f t="shared" si="12"/>
        <v>Полищук Тамара  ;6-16М600/2018;821399;№6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Полищук Тамара  ;6-16М600/2018;821399;№6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788205</v>
      </c>
      <c r="B392" s="57" t="s">
        <v>556</v>
      </c>
      <c r="C392" s="53" t="s">
        <v>557</v>
      </c>
      <c r="D392" s="57" t="s">
        <v>55</v>
      </c>
      <c r="E392" s="50" t="str">
        <f t="shared" si="12"/>
        <v>Поляшенко Иван Сергеевич;6-13М198 /2017;788205;№6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Поляшенко Иван Сергеевич;6-13М198 /2017;788205;№6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826931</v>
      </c>
      <c r="B393" s="67" t="s">
        <v>951</v>
      </c>
      <c r="C393" s="64" t="s">
        <v>952</v>
      </c>
      <c r="D393" s="67" t="s">
        <v>55</v>
      </c>
      <c r="E393" s="50" t="str">
        <f t="shared" si="12"/>
        <v>Попов Владислав Васильевич;6-18РМ016/2019;826931;№6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Попов Владислав Васильевич;6-18РМ016/2019;826931;№6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817780</v>
      </c>
      <c r="B394" s="57" t="s">
        <v>1027</v>
      </c>
      <c r="C394" s="53" t="s">
        <v>1028</v>
      </c>
      <c r="D394" s="57" t="s">
        <v>55</v>
      </c>
      <c r="E394" s="50" t="str">
        <f t="shared" si="12"/>
        <v>Попов Вячеслав Дмитриевич;6-16Р230/18;817780;№6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Попов Вячеслав Дмитриевич;6-16Р230/18;817780;№6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127771</v>
      </c>
      <c r="B395" s="57" t="s">
        <v>130</v>
      </c>
      <c r="C395" s="53" t="s">
        <v>131</v>
      </c>
      <c r="D395" s="57" t="s">
        <v>55</v>
      </c>
      <c r="E395" s="50" t="str">
        <f t="shared" si="12"/>
        <v>Попонкин Дмитрий Александрович;6-15Р152 /2015;127771;№6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Попонкин Дмитрий Александрович;6-15Р152 /2015;127771;№6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806174</v>
      </c>
      <c r="B396" s="57" t="s">
        <v>600</v>
      </c>
      <c r="C396" s="53" t="s">
        <v>601</v>
      </c>
      <c r="D396" s="57" t="s">
        <v>55</v>
      </c>
      <c r="E396" s="50" t="str">
        <f t="shared" si="12"/>
        <v>Пособцев Александр Александрович;6-14Р137/2018;806174;№6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Пособцев Александр Александрович;6-14Р137/2018;806174;№6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817760</v>
      </c>
      <c r="B397" s="67" t="s">
        <v>899</v>
      </c>
      <c r="C397" s="64" t="s">
        <v>900</v>
      </c>
      <c r="D397" s="67" t="s">
        <v>55</v>
      </c>
      <c r="E397" s="50" t="str">
        <f t="shared" si="12"/>
        <v>Постников Максим Олегович;6-18ММ089/2018;817760;№6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Постников Максим Олегович;6-18ММ089/2018;817760;№6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130868</v>
      </c>
      <c r="B398" s="57" t="s">
        <v>188</v>
      </c>
      <c r="C398" s="53" t="s">
        <v>189</v>
      </c>
      <c r="D398" s="57" t="s">
        <v>55</v>
      </c>
      <c r="E398" s="50" t="str">
        <f t="shared" si="12"/>
        <v>Почебыт Георгий Владимирович;6-14Р138 /2015;130868;№6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Почебыт Георгий Владимирович;6-14Р138 /2015;130868;№6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56">
        <v>779038</v>
      </c>
      <c r="B399" s="57" t="s">
        <v>344</v>
      </c>
      <c r="C399" s="53" t="s">
        <v>345</v>
      </c>
      <c r="D399" s="57" t="s">
        <v>55</v>
      </c>
      <c r="E399" s="50" t="str">
        <f t="shared" si="12"/>
        <v>Правдин Борис Андреевич;6-16Р358 /2017;779038;№6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Правдин Борис Андреевич;6-16Р358 /2017;779038;№6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56">
        <v>137189</v>
      </c>
      <c r="B400" s="57" t="s">
        <v>194</v>
      </c>
      <c r="C400" s="53" t="s">
        <v>195</v>
      </c>
      <c r="D400" s="57" t="s">
        <v>55</v>
      </c>
      <c r="E400" s="50" t="str">
        <f t="shared" si="12"/>
        <v>Привалова Екатерина Германовна;6-15Р252 /2016;137189;№6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Привалова Екатерина Германовна;6-15Р252 /2016;137189;№6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806180</v>
      </c>
      <c r="B401" s="57" t="s">
        <v>602</v>
      </c>
      <c r="C401" s="53" t="s">
        <v>603</v>
      </c>
      <c r="D401" s="57" t="s">
        <v>55</v>
      </c>
      <c r="E401" s="50" t="str">
        <f t="shared" si="12"/>
        <v>Приёмко Кирилл Сергеевич;6-17Р127/2018;806180;№6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Приёмко Кирилл Сергеевич;6-17Р127/2018;806180;№6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785097</v>
      </c>
      <c r="B402" s="57" t="s">
        <v>478</v>
      </c>
      <c r="C402" s="53" t="s">
        <v>479</v>
      </c>
      <c r="D402" s="57" t="s">
        <v>55</v>
      </c>
      <c r="E402" s="50" t="str">
        <f t="shared" si="12"/>
        <v>Прокопенко Андрей Сергеевич;6-17Р018 /2017;785097;№6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Прокопенко Андрей Сергеевич;6-17Р018 /2017;785097;№6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784875</v>
      </c>
      <c r="B403" s="57" t="s">
        <v>392</v>
      </c>
      <c r="C403" s="53" t="s">
        <v>393</v>
      </c>
      <c r="D403" s="57" t="s">
        <v>55</v>
      </c>
      <c r="E403" s="50" t="str">
        <f t="shared" si="12"/>
        <v>Прокудин Дмитрий Александрович;6-17Р091 /2017;784875;№6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Прокудин Дмитрий Александрович;6-17Р091 /2017;784875;№6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784876</v>
      </c>
      <c r="B404" s="57" t="s">
        <v>394</v>
      </c>
      <c r="C404" s="53" t="s">
        <v>395</v>
      </c>
      <c r="D404" s="57" t="s">
        <v>55</v>
      </c>
      <c r="E404" s="50" t="str">
        <f t="shared" si="12"/>
        <v>Протасов Семен Сергеевич;6-17Р128 /2017;784876;№6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Протасов Семен Сергеевич;6-17Р128 /2017;784876;№6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56">
        <v>143040</v>
      </c>
      <c r="B405" s="57" t="s">
        <v>278</v>
      </c>
      <c r="C405" s="53" t="s">
        <v>279</v>
      </c>
      <c r="D405" s="57" t="s">
        <v>55</v>
      </c>
      <c r="E405" s="50" t="str">
        <f t="shared" si="12"/>
        <v>Пшиноков Владислав Эдуардович;6-16Р156 /2016;143040;№6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Пшиноков Владислав Эдуардович;6-16Р156 /2016;143040;№6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814688</v>
      </c>
      <c r="B406" s="57" t="s">
        <v>979</v>
      </c>
      <c r="C406" s="53" t="s">
        <v>980</v>
      </c>
      <c r="D406" s="57" t="s">
        <v>55</v>
      </c>
      <c r="E406" s="50" t="str">
        <f t="shared" si="12"/>
        <v>Радьков Марк Сергеевич;6-18Р261/18;814688;№6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Радьков Марк Сергеевич;6-18Р261/18;814688;№6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56">
        <v>816859</v>
      </c>
      <c r="B407" s="57" t="s">
        <v>1103</v>
      </c>
      <c r="C407" s="53" t="s">
        <v>1104</v>
      </c>
      <c r="D407" s="57" t="s">
        <v>55</v>
      </c>
      <c r="E407" s="50" t="str">
        <f t="shared" si="12"/>
        <v>Рамеш Субра Субраманиам  ;6-17ИМ77/2018;816859;№6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Рамеш Субра Субраманиам  ;6-17ИМ77/2018;816859;№6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143041</v>
      </c>
      <c r="B408" s="57" t="s">
        <v>280</v>
      </c>
      <c r="C408" s="53" t="s">
        <v>281</v>
      </c>
      <c r="D408" s="57" t="s">
        <v>55</v>
      </c>
      <c r="E408" s="50" t="str">
        <f t="shared" si="12"/>
        <v>Рейханов Людвиг Николаевич;6-16Р050 /2016;143041;№6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Рейханов Людвиг Николаевич;6-16Р050 /2016;143041;№6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149113</v>
      </c>
      <c r="B409" s="57" t="s">
        <v>336</v>
      </c>
      <c r="C409" s="53" t="s">
        <v>337</v>
      </c>
      <c r="D409" s="57" t="s">
        <v>55</v>
      </c>
      <c r="E409" s="50" t="str">
        <f t="shared" si="12"/>
        <v>Ремденок Александр Александрович;6-13А025 /2016;149113;№6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Ремденок Александр Александрович;6-13А025 /2016;149113;№6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56">
        <v>127795</v>
      </c>
      <c r="B410" s="57" t="s">
        <v>144</v>
      </c>
      <c r="C410" s="53" t="s">
        <v>145</v>
      </c>
      <c r="D410" s="57" t="s">
        <v>55</v>
      </c>
      <c r="E410" s="50" t="str">
        <f t="shared" si="12"/>
        <v>Ролдугин Григорий Алексеевич;6-15Р155 /2015;127795;№6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Ролдугин Григорий Алексеевич;6-15Р155 /2015;127795;№6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56">
        <v>143043</v>
      </c>
      <c r="B411" s="57" t="s">
        <v>282</v>
      </c>
      <c r="C411" s="53" t="s">
        <v>283</v>
      </c>
      <c r="D411" s="57" t="s">
        <v>55</v>
      </c>
      <c r="E411" s="50" t="str">
        <f t="shared" si="12"/>
        <v>Романов Александр Владимирович;6-16Р094 /2016;143043;№6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Романов Александр Владимирович;6-16Р094 /2016;143043;№6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127791</v>
      </c>
      <c r="B412" s="57" t="s">
        <v>140</v>
      </c>
      <c r="C412" s="53" t="s">
        <v>141</v>
      </c>
      <c r="D412" s="57" t="s">
        <v>55</v>
      </c>
      <c r="E412" s="50" t="str">
        <f t="shared" si="12"/>
        <v>Романов Филипп Леонидович;6-15Р069 /2015;127791;№6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Романов Филипп Леонидович;6-15Р069 /2015;127791;№6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127787</v>
      </c>
      <c r="B413" s="57" t="s">
        <v>138</v>
      </c>
      <c r="C413" s="53" t="s">
        <v>139</v>
      </c>
      <c r="D413" s="57" t="s">
        <v>55</v>
      </c>
      <c r="E413" s="50" t="str">
        <f t="shared" si="12"/>
        <v>Романченко Роман Сергеевич;6-14Р140 /2015;127787;№6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Романченко Роман Сергеевич;6-14Р140 /2015;127787;№6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56">
        <v>816480</v>
      </c>
      <c r="B414" s="57" t="s">
        <v>1003</v>
      </c>
      <c r="C414" s="53" t="s">
        <v>1004</v>
      </c>
      <c r="D414" s="57" t="s">
        <v>55</v>
      </c>
      <c r="E414" s="50" t="str">
        <f t="shared" si="12"/>
        <v>Рузмайкин Гордей Витальевич;6-18Р233/18;816480;№6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Рузмайкин Гордей Витальевич;6-18Р233/18;816480;№6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67">
        <v>815173</v>
      </c>
      <c r="B415" s="67" t="s">
        <v>747</v>
      </c>
      <c r="C415" s="64" t="s">
        <v>748</v>
      </c>
      <c r="D415" s="67" t="s">
        <v>55</v>
      </c>
      <c r="E415" s="50" t="str">
        <f t="shared" si="12"/>
        <v>Рунова Ксения Вячеславовна;6-18М048/2018;815173;№6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Рунова Ксения Вячеславовна;6-18М048/2018;815173;№6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143044</v>
      </c>
      <c r="B416" s="57" t="s">
        <v>284</v>
      </c>
      <c r="C416" s="53" t="s">
        <v>285</v>
      </c>
      <c r="D416" s="57" t="s">
        <v>55</v>
      </c>
      <c r="E416" s="50" t="str">
        <f t="shared" si="12"/>
        <v>Русских Степан Александрович;6-16Р188 /2016;143044;№6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Русских Степан Александрович;6-16Р188 /2016;143044;№6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67">
        <v>815174</v>
      </c>
      <c r="B417" s="67" t="s">
        <v>749</v>
      </c>
      <c r="C417" s="64" t="s">
        <v>750</v>
      </c>
      <c r="D417" s="67" t="s">
        <v>55</v>
      </c>
      <c r="E417" s="50" t="str">
        <f t="shared" si="12"/>
        <v>Рыжевская Дарья Игоревна;6-18Р106/2018;815174;№6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Рыжевская Дарья Игоревна;6-18Р106/2018;815174;№6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56">
        <v>127793</v>
      </c>
      <c r="B418" s="57" t="s">
        <v>142</v>
      </c>
      <c r="C418" s="53" t="s">
        <v>143</v>
      </c>
      <c r="D418" s="57" t="s">
        <v>55</v>
      </c>
      <c r="E418" s="50" t="str">
        <f t="shared" si="12"/>
        <v>Рындовская Юлия Васильевна;6-15Р157 /2015;127793;№6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Рындовская Юлия Васильевна;6-15Р157 /2015;127793;№6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815841</v>
      </c>
      <c r="B419" s="57" t="s">
        <v>995</v>
      </c>
      <c r="C419" s="53" t="s">
        <v>996</v>
      </c>
      <c r="D419" s="57" t="s">
        <v>55</v>
      </c>
      <c r="E419" s="50" t="str">
        <f t="shared" si="12"/>
        <v>Савицкий Максим Станиславович;6-15Ю096/18;815841;№6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Савицкий Максим Станиславович;6-15Ю096/18;815841;№6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56">
        <v>127864</v>
      </c>
      <c r="B420" s="57" t="s">
        <v>176</v>
      </c>
      <c r="C420" s="53" t="s">
        <v>177</v>
      </c>
      <c r="D420" s="57" t="s">
        <v>55</v>
      </c>
      <c r="E420" s="50" t="str">
        <f t="shared" si="12"/>
        <v>Саврасов Алексей Сергеевич;6-14Р141 /2015;127864;№6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Саврасов Алексей Сергеевич;6-14Р141 /2015;127864;№6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784877</v>
      </c>
      <c r="B421" s="57" t="s">
        <v>396</v>
      </c>
      <c r="C421" s="53" t="s">
        <v>397</v>
      </c>
      <c r="D421" s="57" t="s">
        <v>55</v>
      </c>
      <c r="E421" s="50" t="str">
        <f t="shared" si="12"/>
        <v>Сазонов Василий Александрович;6-17Р092 /2017;784877;№6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Сазонов Василий Александрович;6-17Р092 /2017;784877;№6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815175</v>
      </c>
      <c r="B422" s="67" t="s">
        <v>751</v>
      </c>
      <c r="C422" s="64" t="s">
        <v>752</v>
      </c>
      <c r="D422" s="67" t="s">
        <v>55</v>
      </c>
      <c r="E422" s="50" t="str">
        <f t="shared" si="12"/>
        <v>Салбиев Давид Георгиевич;6-18Р194/2018;815175;№6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Салбиев Давид Георгиевич;6-18Р194/2018;815175;№6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820519</v>
      </c>
      <c r="B423" s="57" t="s">
        <v>1165</v>
      </c>
      <c r="C423" s="53" t="s">
        <v>1166</v>
      </c>
      <c r="D423" s="57" t="s">
        <v>55</v>
      </c>
      <c r="E423" s="50" t="str">
        <f t="shared" si="12"/>
        <v>Самижонов Абдурашид Нарзулло угли;6-18М618/2018;820519;№6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Самижонов Абдурашид Нарзулло угли;6-18М618/2018;820519;№6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67">
        <v>815176</v>
      </c>
      <c r="B424" s="67" t="s">
        <v>753</v>
      </c>
      <c r="C424" s="64" t="s">
        <v>754</v>
      </c>
      <c r="D424" s="67" t="s">
        <v>55</v>
      </c>
      <c r="E424" s="50" t="str">
        <f t="shared" si="12"/>
        <v>Самойлова Ксения Константиновна;6-18Р147/2018;815176;№6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Самойлова Ксения Константиновна;6-18Р147/2018;815176;№6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67">
        <v>819565</v>
      </c>
      <c r="B425" s="67" t="s">
        <v>913</v>
      </c>
      <c r="C425" s="64" t="s">
        <v>914</v>
      </c>
      <c r="D425" s="67" t="s">
        <v>55</v>
      </c>
      <c r="E425" s="50" t="str">
        <f t="shared" si="12"/>
        <v>Сандомирский Иван Юрьевич;6-18РМ082/2018;819565;№6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Сандомирский Иван Юрьевич;6-18РМ082/2018;819565;№6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127796</v>
      </c>
      <c r="B426" s="57" t="s">
        <v>146</v>
      </c>
      <c r="C426" s="53" t="s">
        <v>147</v>
      </c>
      <c r="D426" s="57" t="s">
        <v>55</v>
      </c>
      <c r="E426" s="50" t="str">
        <f t="shared" si="12"/>
        <v>Сапун Ольга Сергеевна;6-15Р071 /2015;127796;№6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Сапун Ольга Сергеевна;6-15Р071 /2015;127796;№6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142569</v>
      </c>
      <c r="B427" s="57" t="s">
        <v>198</v>
      </c>
      <c r="C427" s="53" t="s">
        <v>199</v>
      </c>
      <c r="D427" s="57" t="s">
        <v>55</v>
      </c>
      <c r="E427" s="50" t="str">
        <f t="shared" si="12"/>
        <v>Саросек Мария Сергеевна;6-16Р157 /2016;142569;№6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Саросек Мария Сергеевна;6-16Р157 /2016;142569;№6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56">
        <v>817774</v>
      </c>
      <c r="B428" s="57" t="s">
        <v>1019</v>
      </c>
      <c r="C428" s="53" t="s">
        <v>1020</v>
      </c>
      <c r="D428" s="57" t="s">
        <v>55</v>
      </c>
      <c r="E428" s="50" t="str">
        <f t="shared" si="12"/>
        <v>Сафарян Тигран Сейранович;6-16Р233/18;817774;№6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Сафарян Тигран Сейранович;6-16Р233/18;817774;№6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143067</v>
      </c>
      <c r="B429" s="57" t="s">
        <v>288</v>
      </c>
      <c r="C429" s="53" t="s">
        <v>289</v>
      </c>
      <c r="D429" s="57" t="s">
        <v>55</v>
      </c>
      <c r="E429" s="50" t="str">
        <f t="shared" si="12"/>
        <v>Сафронова Наталья Олеговна;6-16Р124 /2016;143067;№6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Сафронова Наталья Олеговна;6-16Р124 /2016;143067;№6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56">
        <v>785108</v>
      </c>
      <c r="B430" s="57" t="s">
        <v>482</v>
      </c>
      <c r="C430" s="53" t="s">
        <v>483</v>
      </c>
      <c r="D430" s="57" t="s">
        <v>55</v>
      </c>
      <c r="E430" s="50" t="str">
        <f t="shared" si="12"/>
        <v>Сахненко Владислав Владимирович;6-17Р171 /2017;785108;№6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Сахненко Владислав Владимирович;6-17Р171 /2017;785108;№6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819571</v>
      </c>
      <c r="B431" s="67" t="s">
        <v>917</v>
      </c>
      <c r="C431" s="64" t="s">
        <v>918</v>
      </c>
      <c r="D431" s="67" t="s">
        <v>55</v>
      </c>
      <c r="E431" s="50" t="str">
        <f t="shared" si="12"/>
        <v>Светлакова Анна Павловна;6-16Р455/2018;819571;№6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Светлакова Анна Павловна;6-16Р455/2018;819571;№6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785109</v>
      </c>
      <c r="B432" s="57" t="s">
        <v>484</v>
      </c>
      <c r="C432" s="53" t="s">
        <v>485</v>
      </c>
      <c r="D432" s="57" t="s">
        <v>55</v>
      </c>
      <c r="E432" s="50" t="str">
        <f t="shared" si="12"/>
        <v>Северьянов Кирилл Игоревич;6-17Р194 /2017;785109;№6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Северьянов Кирилл Игоревич;6-17Р194 /2017;785109;№6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67">
        <v>815177</v>
      </c>
      <c r="B433" s="67" t="s">
        <v>755</v>
      </c>
      <c r="C433" s="64" t="s">
        <v>756</v>
      </c>
      <c r="D433" s="67" t="s">
        <v>55</v>
      </c>
      <c r="E433" s="50" t="str">
        <f t="shared" si="12"/>
        <v>Седашев Николай Максимович;6-18Р074/2018;815177;№6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Седашев Николай Максимович;6-18Р074/2018;815177;№6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800111</v>
      </c>
      <c r="B434" s="57" t="s">
        <v>594</v>
      </c>
      <c r="C434" s="53" t="s">
        <v>595</v>
      </c>
      <c r="D434" s="57" t="s">
        <v>55</v>
      </c>
      <c r="E434" s="50" t="str">
        <f t="shared" si="12"/>
        <v>Селезенев Михаил Владимирович;6-16М169/2017;800111;№6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Селезенев Михаил Владимирович;6-16М169/2017;800111;№6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785472</v>
      </c>
      <c r="B435" s="57" t="s">
        <v>530</v>
      </c>
      <c r="C435" s="53" t="s">
        <v>531</v>
      </c>
      <c r="D435" s="57" t="s">
        <v>55</v>
      </c>
      <c r="E435" s="50" t="str">
        <f t="shared" si="12"/>
        <v>Селиванова Мария Андреевна;6-17РМ052 /2017;785472;№6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Селиванова Мария Андреевна;6-17РМ052 /2017;785472;№6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815178</v>
      </c>
      <c r="B436" s="67" t="s">
        <v>757</v>
      </c>
      <c r="C436" s="64" t="s">
        <v>758</v>
      </c>
      <c r="D436" s="67" t="s">
        <v>55</v>
      </c>
      <c r="E436" s="50" t="str">
        <f t="shared" si="12"/>
        <v>Селивошко Ольга Владимировна;6-18М083/2018;815178;№6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Селивошко Ольга Владимировна;6-18М083/2018;815178;№6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823244</v>
      </c>
      <c r="B437" s="67" t="s">
        <v>939</v>
      </c>
      <c r="C437" s="64" t="s">
        <v>940</v>
      </c>
      <c r="D437" s="67" t="s">
        <v>55</v>
      </c>
      <c r="E437" s="50" t="str">
        <f t="shared" si="12"/>
        <v>Семёнов Марк Александрович;6-18М623/2018;823244;№6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Семёнов Марк Александрович;6-18М623/2018;823244;№6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56">
        <v>788206</v>
      </c>
      <c r="B438" s="57" t="s">
        <v>558</v>
      </c>
      <c r="C438" s="53" t="s">
        <v>559</v>
      </c>
      <c r="D438" s="57" t="s">
        <v>55</v>
      </c>
      <c r="E438" s="50" t="str">
        <f t="shared" si="12"/>
        <v>Сергеев Лев Александрович;6-13М292 /2017;788206;№6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Сергеев Лев Александрович;6-13М292 /2017;788206;№6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127863</v>
      </c>
      <c r="B439" s="57" t="s">
        <v>174</v>
      </c>
      <c r="C439" s="53" t="s">
        <v>175</v>
      </c>
      <c r="D439" s="57" t="s">
        <v>55</v>
      </c>
      <c r="E439" s="50" t="str">
        <f t="shared" si="12"/>
        <v>Серов Игорь Николаевич;6-14Р092 /2015;127863;№6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Серов Игорь Николаевич;6-14Р092 /2015;127863;№6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67">
        <v>815179</v>
      </c>
      <c r="B440" s="67" t="s">
        <v>759</v>
      </c>
      <c r="C440" s="64" t="s">
        <v>760</v>
      </c>
      <c r="D440" s="67" t="s">
        <v>55</v>
      </c>
      <c r="E440" s="50" t="str">
        <f t="shared" si="12"/>
        <v>Сибирко Дарья Витальевна;6-18Р126/2018;815179;№6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Сибирко Дарья Витальевна;6-18Р126/2018;815179;№6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56">
        <v>817799</v>
      </c>
      <c r="B441" s="57" t="s">
        <v>1037</v>
      </c>
      <c r="C441" s="53" t="s">
        <v>1038</v>
      </c>
      <c r="D441" s="57" t="s">
        <v>55</v>
      </c>
      <c r="E441" s="50" t="str">
        <f t="shared" si="12"/>
        <v>Сидорчук Владислав Олегович;6-18Р235/18;817799;№6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Сидорчук Владислав Олегович;6-18Р235/18;817799;№6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56">
        <v>127799</v>
      </c>
      <c r="B442" s="57" t="s">
        <v>148</v>
      </c>
      <c r="C442" s="53" t="s">
        <v>149</v>
      </c>
      <c r="D442" s="57" t="s">
        <v>55</v>
      </c>
      <c r="E442" s="50" t="str">
        <f t="shared" si="12"/>
        <v>Силантьев Олег Игоревич;6-15Р159 /2015;127799;№6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Силантьев Олег Игоревич;6-15Р159 /2015;127799;№6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792454</v>
      </c>
      <c r="B443" s="57" t="s">
        <v>588</v>
      </c>
      <c r="C443" s="53" t="s">
        <v>589</v>
      </c>
      <c r="D443" s="57" t="s">
        <v>55</v>
      </c>
      <c r="E443" s="50" t="str">
        <f t="shared" si="12"/>
        <v>Силуянов Николай Александрович;6-15Р200/2017;792454;№6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Силуянов Николай Александрович;6-15Р200/2017;792454;№6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56">
        <v>127812</v>
      </c>
      <c r="B444" s="57" t="s">
        <v>150</v>
      </c>
      <c r="C444" s="53" t="s">
        <v>151</v>
      </c>
      <c r="D444" s="57" t="s">
        <v>55</v>
      </c>
      <c r="E444" s="50" t="str">
        <f t="shared" si="12"/>
        <v>Сингур Алексей Витальевич;6-15Р160 /2015;127812;№6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Сингур Алексей Витальевич;6-15Р160 /2015;127812;№6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815180</v>
      </c>
      <c r="B445" s="67" t="s">
        <v>761</v>
      </c>
      <c r="C445" s="64" t="s">
        <v>762</v>
      </c>
      <c r="D445" s="67" t="s">
        <v>55</v>
      </c>
      <c r="E445" s="50" t="str">
        <f t="shared" si="12"/>
        <v>Сиразеев Айдар Ильфатович;6-18Р182/2018;815180;№6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Сиразеев Айдар Ильфатович;6-18Р182/2018;815180;№6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820688</v>
      </c>
      <c r="B446" s="57" t="s">
        <v>1189</v>
      </c>
      <c r="C446" s="53" t="s">
        <v>1190</v>
      </c>
      <c r="D446" s="57" t="s">
        <v>55</v>
      </c>
      <c r="E446" s="50" t="str">
        <f t="shared" si="12"/>
        <v>Скачкова Анастасия  ;6-16Ю118/2018;820688;№6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Скачкова Анастасия  ;6-16Ю118/2018;820688;№6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67">
        <v>816834</v>
      </c>
      <c r="B447" s="67" t="s">
        <v>843</v>
      </c>
      <c r="C447" s="64" t="s">
        <v>844</v>
      </c>
      <c r="D447" s="67" t="s">
        <v>55</v>
      </c>
      <c r="E447" s="50" t="str">
        <f t="shared" si="12"/>
        <v>Слепухина Анна Сергеевна;6-15Ю098/2018;816834;№6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Слепухина Анна Сергеевна;6-15Ю098/2018;816834;№6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56">
        <v>784878</v>
      </c>
      <c r="B448" s="57" t="s">
        <v>398</v>
      </c>
      <c r="C448" s="53" t="s">
        <v>399</v>
      </c>
      <c r="D448" s="57" t="s">
        <v>55</v>
      </c>
      <c r="E448" s="50" t="str">
        <f t="shared" si="12"/>
        <v>Слугин Евгений Алексеевич;6-17Р172 /2017;784878;№6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Слугин Евгений Алексеевич;6-17Р172 /2017;784878;№6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67">
        <v>815182</v>
      </c>
      <c r="B449" s="67" t="s">
        <v>763</v>
      </c>
      <c r="C449" s="64" t="s">
        <v>764</v>
      </c>
      <c r="D449" s="67" t="s">
        <v>55</v>
      </c>
      <c r="E449" s="50" t="str">
        <f t="shared" ref="E449:E512" si="14">LEFT(C449,IF(ISERROR(FIND(":",C449))=TRUE,LEN(C449),FIND(":",C449)-1)) &amp; ";" &amp; B449 &amp; ";" &amp; A449 &amp; ";" &amp;D449</f>
        <v>Сметанин Алексей Юрьевич;6-18Р-148/2018;815182;№6</v>
      </c>
      <c r="F449" s="50" t="b">
        <f t="shared" ref="F449:F512" si="15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Сметанин Алексей Юрьевич;6-18Р-148/2018;815182;№6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56">
        <v>143069</v>
      </c>
      <c r="B450" s="57" t="s">
        <v>290</v>
      </c>
      <c r="C450" s="53" t="s">
        <v>291</v>
      </c>
      <c r="D450" s="57" t="s">
        <v>55</v>
      </c>
      <c r="E450" s="50" t="str">
        <f t="shared" si="14"/>
        <v>Смехунов Алексей Андреевич;6-16Р136 /2016;143069;№6</v>
      </c>
      <c r="F450" s="50" t="b">
        <f t="shared" si="15"/>
        <v>1</v>
      </c>
      <c r="G450" s="50">
        <f>IF($F450,COUNTIF($F$1:$F450,TRUE),"")</f>
        <v>450</v>
      </c>
      <c r="H450" s="50" t="str">
        <f>IFERROR(INDEX(NameStudent,MATCH(ROWS($H$1:$H450),Index,0)),"")</f>
        <v>Смехунов Алексей Андреевич;6-16Р136 /2016;143069;№6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143078</v>
      </c>
      <c r="B451" s="57" t="s">
        <v>292</v>
      </c>
      <c r="C451" s="53" t="s">
        <v>293</v>
      </c>
      <c r="D451" s="57" t="s">
        <v>55</v>
      </c>
      <c r="E451" s="50" t="str">
        <f t="shared" si="14"/>
        <v>Смирнов Ярослав Анатольевич;6-16Р171 /2016;143078;№6</v>
      </c>
      <c r="F451" s="50" t="b">
        <f t="shared" si="15"/>
        <v>1</v>
      </c>
      <c r="G451" s="50">
        <f>IF($F451,COUNTIF($F$1:$F451,TRUE),"")</f>
        <v>451</v>
      </c>
      <c r="H451" s="50" t="str">
        <f>IFERROR(INDEX(NameStudent,MATCH(ROWS($H$1:$H451),Index,0)),"")</f>
        <v>Смирнов Ярослав Анатольевич;6-16Р171 /2016;143078;№6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56">
        <v>143084</v>
      </c>
      <c r="B452" s="57" t="s">
        <v>294</v>
      </c>
      <c r="C452" s="53" t="s">
        <v>295</v>
      </c>
      <c r="D452" s="57" t="s">
        <v>55</v>
      </c>
      <c r="E452" s="50" t="str">
        <f t="shared" si="14"/>
        <v>Смирнова Анастасия Петровна;6-16Р137 /2016;143084;№6</v>
      </c>
      <c r="F452" s="50" t="b">
        <f t="shared" si="15"/>
        <v>1</v>
      </c>
      <c r="G452" s="50">
        <f>IF($F452,COUNTIF($F$1:$F452,TRUE),"")</f>
        <v>452</v>
      </c>
      <c r="H452" s="50" t="str">
        <f>IFERROR(INDEX(NameStudent,MATCH(ROWS($H$1:$H452),Index,0)),"")</f>
        <v>Смирнова Анастасия Петровна;6-16Р137 /2016;143084;№6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143087</v>
      </c>
      <c r="B453" s="57" t="s">
        <v>296</v>
      </c>
      <c r="C453" s="53" t="s">
        <v>297</v>
      </c>
      <c r="D453" s="57" t="s">
        <v>55</v>
      </c>
      <c r="E453" s="50" t="str">
        <f t="shared" si="14"/>
        <v>Смирнова Анита Андреевна;6-16Р138 /2016;143087;№6</v>
      </c>
      <c r="F453" s="50" t="b">
        <f t="shared" si="15"/>
        <v>1</v>
      </c>
      <c r="G453" s="50">
        <f>IF($F453,COUNTIF($F$1:$F453,TRUE),"")</f>
        <v>453</v>
      </c>
      <c r="H453" s="50" t="str">
        <f>IFERROR(INDEX(NameStudent,MATCH(ROWS($H$1:$H453),Index,0)),"")</f>
        <v>Смирнова Анита Андреевна;6-16Р138 /2016;143087;№6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785110</v>
      </c>
      <c r="B454" s="57" t="s">
        <v>486</v>
      </c>
      <c r="C454" s="53" t="s">
        <v>487</v>
      </c>
      <c r="D454" s="57" t="s">
        <v>55</v>
      </c>
      <c r="E454" s="50" t="str">
        <f t="shared" si="14"/>
        <v>Смирнова Яна Вадимовна;6-17Р151 /2017;785110;№6</v>
      </c>
      <c r="F454" s="50" t="b">
        <f t="shared" si="15"/>
        <v>1</v>
      </c>
      <c r="G454" s="50">
        <f>IF($F454,COUNTIF($F$1:$F454,TRUE),"")</f>
        <v>454</v>
      </c>
      <c r="H454" s="50" t="str">
        <f>IFERROR(INDEX(NameStudent,MATCH(ROWS($H$1:$H454),Index,0)),"")</f>
        <v>Смирнова Яна Вадимовна;6-17Р151 /2017;785110;№6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56">
        <v>815595</v>
      </c>
      <c r="B455" s="57" t="s">
        <v>993</v>
      </c>
      <c r="C455" s="53" t="s">
        <v>994</v>
      </c>
      <c r="D455" s="57" t="s">
        <v>55</v>
      </c>
      <c r="E455" s="50" t="str">
        <f t="shared" si="14"/>
        <v>Соков Матвей Евгеньевич;6-18Р237/18;815595;№6</v>
      </c>
      <c r="F455" s="50" t="b">
        <f t="shared" si="15"/>
        <v>1</v>
      </c>
      <c r="G455" s="50">
        <f>IF($F455,COUNTIF($F$1:$F455,TRUE),"")</f>
        <v>455</v>
      </c>
      <c r="H455" s="50" t="str">
        <f>IFERROR(INDEX(NameStudent,MATCH(ROWS($H$1:$H455),Index,0)),"")</f>
        <v>Соков Матвей Евгеньевич;6-18Р237/18;815595;№6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67">
        <v>817762</v>
      </c>
      <c r="B456" s="67" t="s">
        <v>901</v>
      </c>
      <c r="C456" s="64" t="s">
        <v>902</v>
      </c>
      <c r="D456" s="67" t="s">
        <v>55</v>
      </c>
      <c r="E456" s="50" t="str">
        <f t="shared" si="14"/>
        <v>Соколов Глеб Сергеевич;6-16М429/2018;817762;№6</v>
      </c>
      <c r="F456" s="50" t="b">
        <f t="shared" si="15"/>
        <v>1</v>
      </c>
      <c r="G456" s="50">
        <f>IF($F456,COUNTIF($F$1:$F456,TRUE),"")</f>
        <v>456</v>
      </c>
      <c r="H456" s="50" t="str">
        <f>IFERROR(INDEX(NameStudent,MATCH(ROWS($H$1:$H456),Index,0)),"")</f>
        <v>Соколов Глеб Сергеевич;6-16М429/2018;817762;№6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785474</v>
      </c>
      <c r="B457" s="57" t="s">
        <v>532</v>
      </c>
      <c r="C457" s="53" t="s">
        <v>533</v>
      </c>
      <c r="D457" s="57" t="s">
        <v>55</v>
      </c>
      <c r="E457" s="50" t="str">
        <f t="shared" si="14"/>
        <v>Соколова Татьяна Алексеевна;6-17РМ060 /2017;785474;№6</v>
      </c>
      <c r="F457" s="50" t="b">
        <f t="shared" si="15"/>
        <v>1</v>
      </c>
      <c r="G457" s="50">
        <f>IF($F457,COUNTIF($F$1:$F457,TRUE),"")</f>
        <v>457</v>
      </c>
      <c r="H457" s="50" t="str">
        <f>IFERROR(INDEX(NameStudent,MATCH(ROWS($H$1:$H457),Index,0)),"")</f>
        <v>Соколова Татьяна Алексеевна;6-17РМ060 /2017;785474;№6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815183</v>
      </c>
      <c r="B458" s="67" t="s">
        <v>765</v>
      </c>
      <c r="C458" s="64" t="s">
        <v>766</v>
      </c>
      <c r="D458" s="67" t="s">
        <v>55</v>
      </c>
      <c r="E458" s="50" t="str">
        <f t="shared" si="14"/>
        <v>Соловьева Мария Владимировна;6-18Р127/2018;815183;№6</v>
      </c>
      <c r="F458" s="50" t="b">
        <f t="shared" si="15"/>
        <v>1</v>
      </c>
      <c r="G458" s="50">
        <f>IF($F458,COUNTIF($F$1:$F458,TRUE),"")</f>
        <v>458</v>
      </c>
      <c r="H458" s="50" t="str">
        <f>IFERROR(INDEX(NameStudent,MATCH(ROWS($H$1:$H458),Index,0)),"")</f>
        <v>Соловьева Мария Владимировна;6-18Р127/2018;815183;№6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67">
        <v>816874</v>
      </c>
      <c r="B459" s="67" t="s">
        <v>863</v>
      </c>
      <c r="C459" s="64" t="s">
        <v>864</v>
      </c>
      <c r="D459" s="67" t="s">
        <v>55</v>
      </c>
      <c r="E459" s="50" t="str">
        <f t="shared" si="14"/>
        <v>Спинов Петр Сергеевич;6-18Р150/2018;816874;№6</v>
      </c>
      <c r="F459" s="50" t="b">
        <f t="shared" si="15"/>
        <v>1</v>
      </c>
      <c r="G459" s="50">
        <f>IF($F459,COUNTIF($F$1:$F459,TRUE),"")</f>
        <v>459</v>
      </c>
      <c r="H459" s="50" t="str">
        <f>IFERROR(INDEX(NameStudent,MATCH(ROWS($H$1:$H459),Index,0)),"")</f>
        <v>Спинов Петр Сергеевич;6-18Р150/2018;816874;№6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56">
        <v>784879</v>
      </c>
      <c r="B460" s="57" t="s">
        <v>400</v>
      </c>
      <c r="C460" s="53" t="s">
        <v>401</v>
      </c>
      <c r="D460" s="57" t="s">
        <v>55</v>
      </c>
      <c r="E460" s="50" t="str">
        <f t="shared" si="14"/>
        <v>Степанченко Кирилл Андреевич;6-17Р094 /2017;784879;№6</v>
      </c>
      <c r="F460" s="50" t="b">
        <f t="shared" si="15"/>
        <v>1</v>
      </c>
      <c r="G460" s="50">
        <f>IF($F460,COUNTIF($F$1:$F460,TRUE),"")</f>
        <v>460</v>
      </c>
      <c r="H460" s="50" t="str">
        <f>IFERROR(INDEX(NameStudent,MATCH(ROWS($H$1:$H460),Index,0)),"")</f>
        <v>Степанченко Кирилл Андреевич;6-17Р094 /2017;784879;№6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784880</v>
      </c>
      <c r="B461" s="57" t="s">
        <v>402</v>
      </c>
      <c r="C461" s="53" t="s">
        <v>403</v>
      </c>
      <c r="D461" s="57" t="s">
        <v>55</v>
      </c>
      <c r="E461" s="50" t="str">
        <f t="shared" si="14"/>
        <v>Страхова Анастасия Максимовна;6-17Р195 /2017;784880;№6</v>
      </c>
      <c r="F461" s="50" t="b">
        <f t="shared" si="15"/>
        <v>1</v>
      </c>
      <c r="G461" s="50">
        <f>IF($F461,COUNTIF($F$1:$F461,TRUE),"")</f>
        <v>461</v>
      </c>
      <c r="H461" s="50" t="str">
        <f>IFERROR(INDEX(NameStudent,MATCH(ROWS($H$1:$H461),Index,0)),"")</f>
        <v>Страхова Анастасия Максимовна;6-17Р195 /2017;784880;№6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56">
        <v>785475</v>
      </c>
      <c r="B462" s="57" t="s">
        <v>534</v>
      </c>
      <c r="C462" s="53" t="s">
        <v>535</v>
      </c>
      <c r="D462" s="57" t="s">
        <v>55</v>
      </c>
      <c r="E462" s="50" t="str">
        <f t="shared" si="14"/>
        <v>Суворов Александр Владимирович;6-14М197 /2017;785475;№6</v>
      </c>
      <c r="F462" s="50" t="b">
        <f t="shared" si="15"/>
        <v>1</v>
      </c>
      <c r="G462" s="50">
        <f>IF($F462,COUNTIF($F$1:$F462,TRUE),"")</f>
        <v>462</v>
      </c>
      <c r="H462" s="50" t="str">
        <f>IFERROR(INDEX(NameStudent,MATCH(ROWS($H$1:$H462),Index,0)),"")</f>
        <v>Суворов Александр Владимирович;6-14М197 /2017;785475;№6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820515</v>
      </c>
      <c r="B463" s="57" t="s">
        <v>1163</v>
      </c>
      <c r="C463" s="53" t="s">
        <v>1164</v>
      </c>
      <c r="D463" s="57" t="s">
        <v>55</v>
      </c>
      <c r="E463" s="50" t="str">
        <f t="shared" si="14"/>
        <v>Сунь Мэн ;6-18ИМ37/2018;820515;№6</v>
      </c>
      <c r="F463" s="50" t="b">
        <f t="shared" si="15"/>
        <v>1</v>
      </c>
      <c r="G463" s="50">
        <f>IF($F463,COUNTIF($F$1:$F463,TRUE),"")</f>
        <v>463</v>
      </c>
      <c r="H463" s="50" t="str">
        <f>IFERROR(INDEX(NameStudent,MATCH(ROWS($H$1:$H463),Index,0)),"")</f>
        <v>Сунь Мэн ;6-18ИМ37/2018;820515;№6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55">
        <v>815184</v>
      </c>
      <c r="B464" s="55" t="s">
        <v>767</v>
      </c>
      <c r="C464" s="58" t="s">
        <v>768</v>
      </c>
      <c r="D464" s="55" t="s">
        <v>55</v>
      </c>
      <c r="E464" s="50" t="str">
        <f t="shared" si="14"/>
        <v>Суханов Никита Андреевич;6-18Р195/2018;815184;№6</v>
      </c>
      <c r="F464" s="50" t="b">
        <f t="shared" si="15"/>
        <v>1</v>
      </c>
      <c r="G464" s="50">
        <f>IF($F464,COUNTIF($F$1:$F464,TRUE),"")</f>
        <v>464</v>
      </c>
      <c r="H464" s="50" t="str">
        <f>IFERROR(INDEX(NameStudent,MATCH(ROWS($H$1:$H464),Index,0)),"")</f>
        <v>Суханов Никита Андреевич;6-18Р195/2018;815184;№6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55">
        <v>820672</v>
      </c>
      <c r="B465" s="55" t="s">
        <v>923</v>
      </c>
      <c r="C465" s="58" t="s">
        <v>924</v>
      </c>
      <c r="D465" s="55" t="s">
        <v>55</v>
      </c>
      <c r="E465" s="50" t="str">
        <f t="shared" si="14"/>
        <v>Сухих Никита Сергеевич;6-16М438/2018;820672;№6</v>
      </c>
      <c r="F465" s="50" t="b">
        <f t="shared" si="15"/>
        <v>1</v>
      </c>
      <c r="G465" s="50">
        <f>IF($F465,COUNTIF($F$1:$F465,TRUE),"")</f>
        <v>465</v>
      </c>
      <c r="H465" s="50" t="str">
        <f>IFERROR(INDEX(NameStudent,MATCH(ROWS($H$1:$H465),Index,0)),"")</f>
        <v>Сухих Никита Сергеевич;6-16М438/2018;820672;№6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55">
        <v>828075</v>
      </c>
      <c r="B466" s="55" t="s">
        <v>975</v>
      </c>
      <c r="C466" s="58" t="s">
        <v>976</v>
      </c>
      <c r="D466" s="55" t="s">
        <v>55</v>
      </c>
      <c r="E466" s="50" t="str">
        <f t="shared" si="14"/>
        <v>Сухов Даниил Михайлович;6-15М473/2019;828075;№6</v>
      </c>
      <c r="F466" s="50" t="b">
        <f t="shared" si="15"/>
        <v>1</v>
      </c>
      <c r="G466" s="50">
        <f>IF($F466,COUNTIF($F$1:$F466,TRUE),"")</f>
        <v>466</v>
      </c>
      <c r="H466" s="50" t="str">
        <f>IFERROR(INDEX(NameStudent,MATCH(ROWS($H$1:$H466),Index,0)),"")</f>
        <v>Сухов Даниил Михайлович;6-15М473/2019;828075;№6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69">
        <v>785113</v>
      </c>
      <c r="B467" s="70" t="s">
        <v>488</v>
      </c>
      <c r="C467" s="68" t="s">
        <v>489</v>
      </c>
      <c r="D467" s="70" t="s">
        <v>55</v>
      </c>
      <c r="E467" s="50" t="str">
        <f t="shared" si="14"/>
        <v>Суховирская Алина Михайловна;6-17Р152 /2017;785113;№6</v>
      </c>
      <c r="F467" s="50" t="b">
        <f t="shared" si="15"/>
        <v>1</v>
      </c>
      <c r="G467" s="50">
        <f>IF($F467,COUNTIF($F$1:$F467,TRUE),"")</f>
        <v>467</v>
      </c>
      <c r="H467" s="50" t="str">
        <f>IFERROR(INDEX(NameStudent,MATCH(ROWS($H$1:$H467),Index,0)),"")</f>
        <v>Суховирская Алина Михайловна;6-17Р152 /2017;785113;№6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816136</v>
      </c>
      <c r="B468" s="70" t="s">
        <v>997</v>
      </c>
      <c r="C468" s="68" t="s">
        <v>998</v>
      </c>
      <c r="D468" s="70" t="s">
        <v>55</v>
      </c>
      <c r="E468" s="50" t="str">
        <f t="shared" si="14"/>
        <v>Сухомлинов Михаил Юрьевич;6-18Р238/18;816136;№6</v>
      </c>
      <c r="F468" s="50" t="b">
        <f t="shared" si="15"/>
        <v>1</v>
      </c>
      <c r="G468" s="50">
        <f>IF($F468,COUNTIF($F$1:$F468,TRUE),"")</f>
        <v>468</v>
      </c>
      <c r="H468" s="50" t="str">
        <f>IFERROR(INDEX(NameStudent,MATCH(ROWS($H$1:$H468),Index,0)),"")</f>
        <v>Сухомлинов Михаил Юрьевич;6-18Р238/18;816136;№6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817775</v>
      </c>
      <c r="B469" s="70" t="s">
        <v>1021</v>
      </c>
      <c r="C469" s="68" t="s">
        <v>1022</v>
      </c>
      <c r="D469" s="70" t="s">
        <v>55</v>
      </c>
      <c r="E469" s="50" t="str">
        <f t="shared" si="14"/>
        <v>Сухоруков Егор Алексеевич;6-17Р225/18;817775;№6</v>
      </c>
      <c r="F469" s="50" t="b">
        <f t="shared" si="15"/>
        <v>1</v>
      </c>
      <c r="G469" s="50">
        <f>IF($F469,COUNTIF($F$1:$F469,TRUE),"")</f>
        <v>469</v>
      </c>
      <c r="H469" s="50" t="str">
        <f>IFERROR(INDEX(NameStudent,MATCH(ROWS($H$1:$H469),Index,0)),"")</f>
        <v>Сухоруков Егор Алексеевич;6-17Р225/18;817775;№6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69">
        <v>143063</v>
      </c>
      <c r="B470" s="70" t="s">
        <v>286</v>
      </c>
      <c r="C470" s="68" t="s">
        <v>287</v>
      </c>
      <c r="D470" s="70" t="s">
        <v>55</v>
      </c>
      <c r="E470" s="50" t="str">
        <f t="shared" si="14"/>
        <v>Сырбулова Ксения Дмитриевна;6-16Р126 /2016;143063;№6</v>
      </c>
      <c r="F470" s="50" t="b">
        <f t="shared" si="15"/>
        <v>1</v>
      </c>
      <c r="G470" s="50">
        <f>IF($F470,COUNTIF($F$1:$F470,TRUE),"")</f>
        <v>470</v>
      </c>
      <c r="H470" s="50" t="str">
        <f>IFERROR(INDEX(NameStudent,MATCH(ROWS($H$1:$H470),Index,0)),"")</f>
        <v>Сырбулова Ксения Дмитриевна;6-16Р126 /2016;143063;№6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55">
        <v>815185</v>
      </c>
      <c r="B471" s="55" t="s">
        <v>769</v>
      </c>
      <c r="C471" s="58" t="s">
        <v>770</v>
      </c>
      <c r="D471" s="55" t="s">
        <v>55</v>
      </c>
      <c r="E471" s="50" t="str">
        <f t="shared" si="14"/>
        <v>Такленок Екатерина Альбертовна;6-18Р151/2018;815185;№6</v>
      </c>
      <c r="F471" s="50" t="b">
        <f t="shared" si="15"/>
        <v>1</v>
      </c>
      <c r="G471" s="50">
        <f>IF($F471,COUNTIF($F$1:$F471,TRUE),"")</f>
        <v>471</v>
      </c>
      <c r="H471" s="50" t="str">
        <f>IFERROR(INDEX(NameStudent,MATCH(ROWS($H$1:$H471),Index,0)),"")</f>
        <v>Такленок Екатерина Альбертовна;6-18Р151/2018;815185;№6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55">
        <v>815186</v>
      </c>
      <c r="B472" s="55" t="s">
        <v>771</v>
      </c>
      <c r="C472" s="58" t="s">
        <v>772</v>
      </c>
      <c r="D472" s="55" t="s">
        <v>55</v>
      </c>
      <c r="E472" s="50" t="str">
        <f t="shared" si="14"/>
        <v>Таранец Андрей Иванович;6-18Р196/2018;815186;№6</v>
      </c>
      <c r="F472" s="50" t="b">
        <f t="shared" si="15"/>
        <v>1</v>
      </c>
      <c r="G472" s="50">
        <f>IF($F472,COUNTIF($F$1:$F472,TRUE),"")</f>
        <v>472</v>
      </c>
      <c r="H472" s="50" t="str">
        <f>IFERROR(INDEX(NameStudent,MATCH(ROWS($H$1:$H472),Index,0)),"")</f>
        <v>Таранец Андрей Иванович;6-18Р196/2018;815186;№6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143092</v>
      </c>
      <c r="B473" s="70" t="s">
        <v>298</v>
      </c>
      <c r="C473" s="68" t="s">
        <v>299</v>
      </c>
      <c r="D473" s="70" t="s">
        <v>55</v>
      </c>
      <c r="E473" s="50" t="str">
        <f t="shared" si="14"/>
        <v>Тарасова Александра Андреевна;6-16Р059 /2016;143092;№6</v>
      </c>
      <c r="F473" s="50" t="b">
        <f t="shared" si="15"/>
        <v>1</v>
      </c>
      <c r="G473" s="50">
        <f>IF($F473,COUNTIF($F$1:$F473,TRUE),"")</f>
        <v>473</v>
      </c>
      <c r="H473" s="50" t="str">
        <f>IFERROR(INDEX(NameStudent,MATCH(ROWS($H$1:$H473),Index,0)),"")</f>
        <v>Тарасова Александра Андреевна;6-16Р059 /2016;143092;№6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55">
        <v>820666</v>
      </c>
      <c r="B474" s="55" t="s">
        <v>919</v>
      </c>
      <c r="C474" s="58" t="s">
        <v>920</v>
      </c>
      <c r="D474" s="55" t="s">
        <v>55</v>
      </c>
      <c r="E474" s="50" t="str">
        <f t="shared" si="14"/>
        <v>Тартачакова Софья Сергеевна;6-18Ю002/2018;820666;№6</v>
      </c>
      <c r="F474" s="50" t="b">
        <f t="shared" si="15"/>
        <v>1</v>
      </c>
      <c r="G474" s="50">
        <f>IF($F474,COUNTIF($F$1:$F474,TRUE),"")</f>
        <v>474</v>
      </c>
      <c r="H474" s="50" t="str">
        <f>IFERROR(INDEX(NameStudent,MATCH(ROWS($H$1:$H474),Index,0)),"")</f>
        <v>Тартачакова Софья Сергеевна;6-18Ю002/2018;820666;№6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55">
        <v>816870</v>
      </c>
      <c r="B475" s="55" t="s">
        <v>861</v>
      </c>
      <c r="C475" s="58" t="s">
        <v>862</v>
      </c>
      <c r="D475" s="55" t="s">
        <v>55</v>
      </c>
      <c r="E475" s="50" t="str">
        <f t="shared" si="14"/>
        <v>Таршхоев Амир Идрисович;6-18Р051/2018;816870;№6</v>
      </c>
      <c r="F475" s="50" t="b">
        <f t="shared" si="15"/>
        <v>1</v>
      </c>
      <c r="G475" s="50">
        <f>IF($F475,COUNTIF($F$1:$F475,TRUE),"")</f>
        <v>475</v>
      </c>
      <c r="H475" s="50" t="str">
        <f>IFERROR(INDEX(NameStudent,MATCH(ROWS($H$1:$H475),Index,0)),"")</f>
        <v>Таршхоев Амир Идрисович;6-18Р051/2018;816870;№6</v>
      </c>
    </row>
    <row r="476" spans="1:14" ht="16.149999999999999" customHeight="1" x14ac:dyDescent="0.2">
      <c r="A476" s="69">
        <v>820329</v>
      </c>
      <c r="B476" s="70" t="s">
        <v>1113</v>
      </c>
      <c r="C476" s="68" t="s">
        <v>1114</v>
      </c>
      <c r="D476" s="70" t="s">
        <v>55</v>
      </c>
      <c r="E476" s="50" t="str">
        <f t="shared" si="14"/>
        <v>Татарчук Майя  ;6-17Ю127/2018;820329;№6</v>
      </c>
      <c r="F476" s="50" t="b">
        <f t="shared" si="15"/>
        <v>1</v>
      </c>
      <c r="G476" s="50">
        <f>IF($F476,COUNTIF($F$1:$F476,TRUE),"")</f>
        <v>476</v>
      </c>
      <c r="H476" s="50" t="str">
        <f>IFERROR(INDEX(NameStudent,MATCH(ROWS($H$1:$H476),Index,0)),"")</f>
        <v>Татарчук Майя  ;6-17Ю127/2018;820329;№6</v>
      </c>
    </row>
    <row r="477" spans="1:14" ht="16.149999999999999" customHeight="1" x14ac:dyDescent="0.2">
      <c r="A477" s="69">
        <v>820527</v>
      </c>
      <c r="B477" s="70" t="s">
        <v>1167</v>
      </c>
      <c r="C477" s="68" t="s">
        <v>1168</v>
      </c>
      <c r="D477" s="70" t="s">
        <v>55</v>
      </c>
      <c r="E477" s="50" t="str">
        <f t="shared" si="14"/>
        <v>Ташпулатов Усмон Шухрат угли;6-18М620/2018;820527;№6</v>
      </c>
      <c r="F477" s="50" t="b">
        <f t="shared" si="15"/>
        <v>1</v>
      </c>
      <c r="G477" s="50">
        <f>IF($F477,COUNTIF($F$1:$F477,TRUE),"")</f>
        <v>477</v>
      </c>
      <c r="H477" s="50" t="str">
        <f>IFERROR(INDEX(NameStudent,MATCH(ROWS($H$1:$H477),Index,0)),"")</f>
        <v>Ташпулатов Усмон Шухрат угли;6-18М620/2018;820527;№6</v>
      </c>
    </row>
    <row r="478" spans="1:14" ht="16.149999999999999" customHeight="1" x14ac:dyDescent="0.2">
      <c r="A478" s="55">
        <v>816837</v>
      </c>
      <c r="B478" s="55" t="s">
        <v>845</v>
      </c>
      <c r="C478" s="58" t="s">
        <v>846</v>
      </c>
      <c r="D478" s="55" t="s">
        <v>55</v>
      </c>
      <c r="E478" s="50" t="str">
        <f t="shared" si="14"/>
        <v>Тевяшов Глеб Константинович;6-18ММ108/2018;816837;№6</v>
      </c>
      <c r="F478" s="50" t="b">
        <f t="shared" si="15"/>
        <v>1</v>
      </c>
      <c r="G478" s="50">
        <f>IF($F478,COUNTIF($F$1:$F478,TRUE),"")</f>
        <v>478</v>
      </c>
      <c r="H478" s="50" t="str">
        <f>IFERROR(INDEX(NameStudent,MATCH(ROWS($H$1:$H478),Index,0)),"")</f>
        <v>Тевяшов Глеб Константинович;6-18ММ108/2018;816837;№6</v>
      </c>
    </row>
    <row r="479" spans="1:14" ht="16.149999999999999" customHeight="1" x14ac:dyDescent="0.2">
      <c r="A479" s="69">
        <v>785114</v>
      </c>
      <c r="B479" s="70" t="s">
        <v>490</v>
      </c>
      <c r="C479" s="68" t="s">
        <v>491</v>
      </c>
      <c r="D479" s="70" t="s">
        <v>55</v>
      </c>
      <c r="E479" s="50" t="str">
        <f t="shared" si="14"/>
        <v>Телятник Станислав Юрьевич;6-17Р007 /2017;785114;№6</v>
      </c>
      <c r="F479" s="50" t="b">
        <f t="shared" si="15"/>
        <v>1</v>
      </c>
      <c r="G479" s="50">
        <f>IF($F479,COUNTIF($F$1:$F479,TRUE),"")</f>
        <v>479</v>
      </c>
      <c r="H479" s="50" t="str">
        <f>IFERROR(INDEX(NameStudent,MATCH(ROWS($H$1:$H479),Index,0)),"")</f>
        <v>Телятник Станислав Юрьевич;6-17Р007 /2017;785114;№6</v>
      </c>
    </row>
    <row r="480" spans="1:14" ht="16.149999999999999" customHeight="1" x14ac:dyDescent="0.2">
      <c r="A480" s="55">
        <v>815187</v>
      </c>
      <c r="B480" s="55" t="s">
        <v>773</v>
      </c>
      <c r="C480" s="58" t="s">
        <v>774</v>
      </c>
      <c r="D480" s="55" t="s">
        <v>55</v>
      </c>
      <c r="E480" s="50" t="str">
        <f t="shared" si="14"/>
        <v>Тинтул Антон Олегович;6-18Р184/2018;815187;№6</v>
      </c>
      <c r="F480" s="50" t="b">
        <f t="shared" si="15"/>
        <v>1</v>
      </c>
      <c r="G480" s="50">
        <f>IF($F480,COUNTIF($F$1:$F480,TRUE),"")</f>
        <v>480</v>
      </c>
      <c r="H480" s="50" t="str">
        <f>IFERROR(INDEX(NameStudent,MATCH(ROWS($H$1:$H480),Index,0)),"")</f>
        <v>Тинтул Антон Олегович;6-18Р184/2018;815187;№6</v>
      </c>
    </row>
    <row r="481" spans="1:8" ht="16.149999999999999" customHeight="1" x14ac:dyDescent="0.2">
      <c r="A481" s="69">
        <v>127816</v>
      </c>
      <c r="B481" s="70" t="s">
        <v>154</v>
      </c>
      <c r="C481" s="68" t="s">
        <v>155</v>
      </c>
      <c r="D481" s="70" t="s">
        <v>55</v>
      </c>
      <c r="E481" s="50" t="str">
        <f t="shared" si="14"/>
        <v>Титова Каролина Дмитриевна;6-15Р075 /2015;127816;№6</v>
      </c>
      <c r="F481" s="50" t="b">
        <f t="shared" si="15"/>
        <v>1</v>
      </c>
      <c r="G481" s="50">
        <f>IF($F481,COUNTIF($F$1:$F481,TRUE),"")</f>
        <v>481</v>
      </c>
      <c r="H481" s="50" t="str">
        <f>IFERROR(INDEX(NameStudent,MATCH(ROWS($H$1:$H481),Index,0)),"")</f>
        <v>Титова Каролина Дмитриевна;6-15Р075 /2015;127816;№6</v>
      </c>
    </row>
    <row r="482" spans="1:8" ht="16.149999999999999" customHeight="1" x14ac:dyDescent="0.2">
      <c r="A482" s="55">
        <v>820670</v>
      </c>
      <c r="B482" s="55" t="s">
        <v>921</v>
      </c>
      <c r="C482" s="58" t="s">
        <v>922</v>
      </c>
      <c r="D482" s="55" t="s">
        <v>55</v>
      </c>
      <c r="E482" s="50" t="str">
        <f t="shared" si="14"/>
        <v>Товкань Юлия Андреевна;6-16Р492/2018;820670;№6</v>
      </c>
      <c r="F482" s="50" t="b">
        <f t="shared" si="15"/>
        <v>1</v>
      </c>
      <c r="G482" s="50">
        <f>IF($F482,COUNTIF($F$1:$F482,TRUE),"")</f>
        <v>482</v>
      </c>
      <c r="H482" s="50" t="str">
        <f>IFERROR(INDEX(NameStudent,MATCH(ROWS($H$1:$H482),Index,0)),"")</f>
        <v>Товкань Юлия Андреевна;6-16Р492/2018;820670;№6</v>
      </c>
    </row>
    <row r="483" spans="1:8" ht="16.149999999999999" customHeight="1" x14ac:dyDescent="0.2">
      <c r="A483" s="69">
        <v>785487</v>
      </c>
      <c r="B483" s="70" t="s">
        <v>536</v>
      </c>
      <c r="C483" s="68" t="s">
        <v>537</v>
      </c>
      <c r="D483" s="70" t="s">
        <v>55</v>
      </c>
      <c r="E483" s="50" t="str">
        <f t="shared" si="14"/>
        <v>Толубец Анастасия Олеговна;6-16М019 /2017;785487;№6</v>
      </c>
      <c r="F483" s="50" t="b">
        <f t="shared" si="15"/>
        <v>1</v>
      </c>
      <c r="G483" s="50">
        <f>IF($F483,COUNTIF($F$1:$F483,TRUE),"")</f>
        <v>483</v>
      </c>
      <c r="H483" s="50" t="str">
        <f>IFERROR(INDEX(NameStudent,MATCH(ROWS($H$1:$H483),Index,0)),"")</f>
        <v>Толубец Анастасия Олеговна;6-16М019 /2017;785487;№6</v>
      </c>
    </row>
    <row r="484" spans="1:8" ht="16.149999999999999" customHeight="1" x14ac:dyDescent="0.2">
      <c r="A484" s="69">
        <v>143103</v>
      </c>
      <c r="B484" s="70" t="s">
        <v>300</v>
      </c>
      <c r="C484" s="68" t="s">
        <v>301</v>
      </c>
      <c r="D484" s="70" t="s">
        <v>55</v>
      </c>
      <c r="E484" s="50" t="str">
        <f t="shared" si="14"/>
        <v>Торопов Николай Петрович;6-16Р172 /2016;143103;№6</v>
      </c>
      <c r="F484" s="50" t="b">
        <f t="shared" si="15"/>
        <v>1</v>
      </c>
      <c r="G484" s="50">
        <f>IF($F484,COUNTIF($F$1:$F484,TRUE),"")</f>
        <v>484</v>
      </c>
      <c r="H484" s="50" t="str">
        <f>IFERROR(INDEX(NameStudent,MATCH(ROWS($H$1:$H484),Index,0)),"")</f>
        <v>Торопов Николай Петрович;6-16Р172 /2016;143103;№6</v>
      </c>
    </row>
    <row r="485" spans="1:8" ht="16.149999999999999" customHeight="1" x14ac:dyDescent="0.2">
      <c r="A485" s="55">
        <v>817764</v>
      </c>
      <c r="B485" s="55" t="s">
        <v>903</v>
      </c>
      <c r="C485" s="58" t="s">
        <v>904</v>
      </c>
      <c r="D485" s="55" t="s">
        <v>55</v>
      </c>
      <c r="E485" s="50" t="str">
        <f t="shared" si="14"/>
        <v>Третьяков Денис Валерьевич;6-15М482/2018;817764;№6</v>
      </c>
      <c r="F485" s="50" t="b">
        <f t="shared" si="15"/>
        <v>1</v>
      </c>
      <c r="G485" s="50">
        <f>IF($F485,COUNTIF($F$1:$F485,TRUE),"")</f>
        <v>485</v>
      </c>
      <c r="H485" s="50" t="str">
        <f>IFERROR(INDEX(NameStudent,MATCH(ROWS($H$1:$H485),Index,0)),"")</f>
        <v>Третьяков Денис Валерьевич;6-15М482/2018;817764;№6</v>
      </c>
    </row>
    <row r="486" spans="1:8" ht="16.149999999999999" customHeight="1" x14ac:dyDescent="0.2">
      <c r="A486" s="69">
        <v>785115</v>
      </c>
      <c r="B486" s="70" t="s">
        <v>492</v>
      </c>
      <c r="C486" s="68" t="s">
        <v>493</v>
      </c>
      <c r="D486" s="70" t="s">
        <v>55</v>
      </c>
      <c r="E486" s="50" t="str">
        <f t="shared" si="14"/>
        <v>Трофимов Дмитрий Сергеевич;6-17Р175 /2017;785115;№6</v>
      </c>
      <c r="F486" s="50" t="b">
        <f t="shared" si="15"/>
        <v>1</v>
      </c>
      <c r="G486" s="50">
        <f>IF($F486,COUNTIF($F$1:$F486,TRUE),"")</f>
        <v>486</v>
      </c>
      <c r="H486" s="50" t="str">
        <f>IFERROR(INDEX(NameStudent,MATCH(ROWS($H$1:$H486),Index,0)),"")</f>
        <v>Трофимов Дмитрий Сергеевич;6-17Р175 /2017;785115;№6</v>
      </c>
    </row>
    <row r="487" spans="1:8" ht="16.149999999999999" customHeight="1" x14ac:dyDescent="0.2">
      <c r="A487" s="69">
        <v>784882</v>
      </c>
      <c r="B487" s="70" t="s">
        <v>404</v>
      </c>
      <c r="C487" s="68" t="s">
        <v>405</v>
      </c>
      <c r="D487" s="70" t="s">
        <v>55</v>
      </c>
      <c r="E487" s="50" t="str">
        <f t="shared" si="14"/>
        <v>Трунова Алина Витальевна;6-17Р130 /2017;784882;№6</v>
      </c>
      <c r="F487" s="50" t="b">
        <f t="shared" si="15"/>
        <v>1</v>
      </c>
      <c r="G487" s="50">
        <f>IF($F487,COUNTIF($F$1:$F487,TRUE),"")</f>
        <v>487</v>
      </c>
      <c r="H487" s="50" t="str">
        <f>IFERROR(INDEX(NameStudent,MATCH(ROWS($H$1:$H487),Index,0)),"")</f>
        <v>Трунова Алина Витальевна;6-17Р130 /2017;784882;№6</v>
      </c>
    </row>
    <row r="488" spans="1:8" ht="16.149999999999999" customHeight="1" x14ac:dyDescent="0.2">
      <c r="A488" s="55">
        <v>815188</v>
      </c>
      <c r="B488" s="55" t="s">
        <v>775</v>
      </c>
      <c r="C488" s="58" t="s">
        <v>776</v>
      </c>
      <c r="D488" s="55" t="s">
        <v>55</v>
      </c>
      <c r="E488" s="50" t="str">
        <f t="shared" si="14"/>
        <v>Тузиков Александр Сергеевич;6-18Р152/2018;815188;№6</v>
      </c>
      <c r="F488" s="50" t="b">
        <f t="shared" si="15"/>
        <v>1</v>
      </c>
      <c r="G488" s="50">
        <f>IF($F488,COUNTIF($F$1:$F488,TRUE),"")</f>
        <v>488</v>
      </c>
      <c r="H488" s="50" t="str">
        <f>IFERROR(INDEX(NameStudent,MATCH(ROWS($H$1:$H488),Index,0)),"")</f>
        <v>Тузиков Александр Сергеевич;6-18Р152/2018;815188;№6</v>
      </c>
    </row>
    <row r="489" spans="1:8" ht="16.149999999999999" customHeight="1" x14ac:dyDescent="0.2">
      <c r="A489" s="69">
        <v>127814</v>
      </c>
      <c r="B489" s="70" t="s">
        <v>152</v>
      </c>
      <c r="C489" s="68" t="s">
        <v>153</v>
      </c>
      <c r="D489" s="70" t="s">
        <v>55</v>
      </c>
      <c r="E489" s="50" t="str">
        <f t="shared" si="14"/>
        <v>Тюлькина Анастасия Владимировна;6-15Р163 /2015;127814;№6</v>
      </c>
      <c r="F489" s="50" t="b">
        <f t="shared" si="15"/>
        <v>1</v>
      </c>
      <c r="G489" s="50">
        <f>IF($F489,COUNTIF($F$1:$F489,TRUE),"")</f>
        <v>489</v>
      </c>
      <c r="H489" s="50" t="str">
        <f>IFERROR(INDEX(NameStudent,MATCH(ROWS($H$1:$H489),Index,0)),"")</f>
        <v>Тюлькина Анастасия Владимировна;6-15Р163 /2015;127814;№6</v>
      </c>
    </row>
    <row r="490" spans="1:8" ht="16.149999999999999" customHeight="1" x14ac:dyDescent="0.2">
      <c r="A490" s="55">
        <v>815189</v>
      </c>
      <c r="B490" s="55" t="s">
        <v>777</v>
      </c>
      <c r="C490" s="58" t="s">
        <v>778</v>
      </c>
      <c r="D490" s="55" t="s">
        <v>55</v>
      </c>
      <c r="E490" s="50" t="str">
        <f t="shared" si="14"/>
        <v>Ульянов Владислав Николаевич;6-18Р010/2018;815189;№6</v>
      </c>
      <c r="F490" s="50" t="b">
        <f t="shared" si="15"/>
        <v>1</v>
      </c>
      <c r="G490" s="50">
        <f>IF($F490,COUNTIF($F$1:$F490,TRUE),"")</f>
        <v>490</v>
      </c>
      <c r="H490" s="50" t="str">
        <f>IFERROR(INDEX(NameStudent,MATCH(ROWS($H$1:$H490),Index,0)),"")</f>
        <v>Ульянов Владислав Николаевич;6-18Р010/2018;815189;№6</v>
      </c>
    </row>
    <row r="491" spans="1:8" ht="16.149999999999999" customHeight="1" x14ac:dyDescent="0.2">
      <c r="A491" s="69">
        <v>127818</v>
      </c>
      <c r="B491" s="70" t="s">
        <v>156</v>
      </c>
      <c r="C491" s="68" t="s">
        <v>157</v>
      </c>
      <c r="D491" s="70" t="s">
        <v>55</v>
      </c>
      <c r="E491" s="50" t="str">
        <f t="shared" si="14"/>
        <v>Ульянова Мирослава Андреевна;6-15Ю030 /2015;127818;№6</v>
      </c>
      <c r="F491" s="50" t="b">
        <f t="shared" si="15"/>
        <v>1</v>
      </c>
      <c r="G491" s="50">
        <f>IF($F491,COUNTIF($F$1:$F491,TRUE),"")</f>
        <v>491</v>
      </c>
      <c r="H491" s="50" t="str">
        <f>IFERROR(INDEX(NameStudent,MATCH(ROWS($H$1:$H491),Index,0)),"")</f>
        <v>Ульянова Мирослава Андреевна;6-15Ю030 /2015;127818;№6</v>
      </c>
    </row>
    <row r="492" spans="1:8" ht="16.149999999999999" customHeight="1" x14ac:dyDescent="0.2">
      <c r="A492" s="55">
        <v>815190</v>
      </c>
      <c r="B492" s="55" t="s">
        <v>779</v>
      </c>
      <c r="C492" s="58" t="s">
        <v>780</v>
      </c>
      <c r="D492" s="55" t="s">
        <v>55</v>
      </c>
      <c r="E492" s="50" t="str">
        <f t="shared" si="14"/>
        <v>Уразгильдин Тимур Русланович;6-18Р153/2018;815190;№6</v>
      </c>
      <c r="F492" s="50" t="b">
        <f t="shared" si="15"/>
        <v>1</v>
      </c>
      <c r="G492" s="50">
        <f>IF($F492,COUNTIF($F$1:$F492,TRUE),"")</f>
        <v>492</v>
      </c>
      <c r="H492" s="50" t="str">
        <f>IFERROR(INDEX(NameStudent,MATCH(ROWS($H$1:$H492),Index,0)),"")</f>
        <v>Уразгильдин Тимур Русланович;6-18Р153/2018;815190;№6</v>
      </c>
    </row>
    <row r="493" spans="1:8" ht="16.149999999999999" customHeight="1" x14ac:dyDescent="0.2">
      <c r="A493" s="69">
        <v>127858</v>
      </c>
      <c r="B493" s="70" t="s">
        <v>172</v>
      </c>
      <c r="C493" s="68" t="s">
        <v>173</v>
      </c>
      <c r="D493" s="70" t="s">
        <v>55</v>
      </c>
      <c r="E493" s="50" t="str">
        <f t="shared" si="14"/>
        <v>Уракова Карина Айратовна;6-15Р165 /2015;127858;№6</v>
      </c>
      <c r="F493" s="50" t="b">
        <f t="shared" si="15"/>
        <v>1</v>
      </c>
      <c r="G493" s="50">
        <f>IF($F493,COUNTIF($F$1:$F493,TRUE),"")</f>
        <v>493</v>
      </c>
      <c r="H493" s="50" t="str">
        <f>IFERROR(INDEX(NameStudent,MATCH(ROWS($H$1:$H493),Index,0)),"")</f>
        <v>Уракова Карина Айратовна;6-15Р165 /2015;127858;№6</v>
      </c>
    </row>
    <row r="494" spans="1:8" ht="16.149999999999999" customHeight="1" x14ac:dyDescent="0.2">
      <c r="A494" s="69">
        <v>817776</v>
      </c>
      <c r="B494" s="70" t="s">
        <v>1023</v>
      </c>
      <c r="C494" s="68" t="s">
        <v>1024</v>
      </c>
      <c r="D494" s="70" t="s">
        <v>55</v>
      </c>
      <c r="E494" s="50" t="str">
        <f t="shared" si="14"/>
        <v>Ухачев Владимир Сергеевич;6-16Р214/18;817776;№6</v>
      </c>
      <c r="F494" s="50" t="b">
        <f t="shared" si="15"/>
        <v>1</v>
      </c>
      <c r="G494" s="50">
        <f>IF($F494,COUNTIF($F$1:$F494,TRUE),"")</f>
        <v>494</v>
      </c>
      <c r="H494" s="50" t="str">
        <f>IFERROR(INDEX(NameStudent,MATCH(ROWS($H$1:$H494),Index,0)),"")</f>
        <v>Ухачев Владимир Сергеевич;6-16Р214/18;817776;№6</v>
      </c>
    </row>
    <row r="495" spans="1:8" ht="16.149999999999999" customHeight="1" x14ac:dyDescent="0.2">
      <c r="A495" s="69">
        <v>127857</v>
      </c>
      <c r="B495" s="70" t="s">
        <v>170</v>
      </c>
      <c r="C495" s="68" t="s">
        <v>171</v>
      </c>
      <c r="D495" s="70" t="s">
        <v>55</v>
      </c>
      <c r="E495" s="50" t="str">
        <f t="shared" si="14"/>
        <v>Ушаков Антон Сергеевич;6-15Ю022 /2015;127857;№6</v>
      </c>
      <c r="F495" s="50" t="b">
        <f t="shared" si="15"/>
        <v>1</v>
      </c>
      <c r="G495" s="50">
        <f>IF($F495,COUNTIF($F$1:$F495,TRUE),"")</f>
        <v>495</v>
      </c>
      <c r="H495" s="50" t="str">
        <f>IFERROR(INDEX(NameStudent,MATCH(ROWS($H$1:$H495),Index,0)),"")</f>
        <v>Ушаков Антон Сергеевич;6-15Ю022 /2015;127857;№6</v>
      </c>
    </row>
    <row r="496" spans="1:8" ht="16.149999999999999" customHeight="1" x14ac:dyDescent="0.2">
      <c r="A496" s="69">
        <v>820534</v>
      </c>
      <c r="B496" s="70" t="s">
        <v>1169</v>
      </c>
      <c r="C496" s="68" t="s">
        <v>1170</v>
      </c>
      <c r="D496" s="70" t="s">
        <v>55</v>
      </c>
      <c r="E496" s="50" t="str">
        <f t="shared" si="14"/>
        <v>Фальман Артём  ;6-18М622/2018;820534;№6</v>
      </c>
      <c r="F496" s="50" t="b">
        <f t="shared" si="15"/>
        <v>1</v>
      </c>
      <c r="G496" s="50">
        <f>IF($F496,COUNTIF($F$1:$F496,TRUE),"")</f>
        <v>496</v>
      </c>
      <c r="H496" s="50" t="str">
        <f>IFERROR(INDEX(NameStudent,MATCH(ROWS($H$1:$H496),Index,0)),"")</f>
        <v>Фальман Артём  ;6-18М622/2018;820534;№6</v>
      </c>
    </row>
    <row r="497" spans="1:8" ht="16.149999999999999" customHeight="1" x14ac:dyDescent="0.2">
      <c r="A497" s="69">
        <v>815191</v>
      </c>
      <c r="B497" s="70" t="s">
        <v>1057</v>
      </c>
      <c r="C497" s="68" t="s">
        <v>1058</v>
      </c>
      <c r="D497" s="70" t="s">
        <v>55</v>
      </c>
      <c r="E497" s="50" t="str">
        <f t="shared" si="14"/>
        <v>Фам Тхай Шон ;6-18ИР03/2018;815191;№6</v>
      </c>
      <c r="F497" s="50" t="b">
        <f t="shared" si="15"/>
        <v>1</v>
      </c>
      <c r="G497" s="50">
        <f>IF($F497,COUNTIF($F$1:$F497,TRUE),"")</f>
        <v>497</v>
      </c>
      <c r="H497" s="50" t="str">
        <f>IFERROR(INDEX(NameStudent,MATCH(ROWS($H$1:$H497),Index,0)),"")</f>
        <v>Фам Тхай Шон ;6-18ИР03/2018;815191;№6</v>
      </c>
    </row>
    <row r="498" spans="1:8" ht="16.149999999999999" customHeight="1" x14ac:dyDescent="0.2">
      <c r="A498" s="55">
        <v>815192</v>
      </c>
      <c r="B498" s="55" t="s">
        <v>781</v>
      </c>
      <c r="C498" s="58" t="s">
        <v>782</v>
      </c>
      <c r="D498" s="55" t="s">
        <v>55</v>
      </c>
      <c r="E498" s="50" t="str">
        <f t="shared" si="14"/>
        <v>Фамильцев Андрей Михайлович;6-18ММ111/2018;815192;№6</v>
      </c>
      <c r="F498" s="50" t="b">
        <f t="shared" si="15"/>
        <v>1</v>
      </c>
      <c r="G498" s="50">
        <f>IF($F498,COUNTIF($F$1:$F498,TRUE),"")</f>
        <v>498</v>
      </c>
      <c r="H498" s="50" t="str">
        <f>IFERROR(INDEX(NameStudent,MATCH(ROWS($H$1:$H498),Index,0)),"")</f>
        <v>Фамильцев Андрей Михайлович;6-18ММ111/2018;815192;№6</v>
      </c>
    </row>
    <row r="499" spans="1:8" ht="16.149999999999999" customHeight="1" x14ac:dyDescent="0.2">
      <c r="A499" s="72">
        <v>143108</v>
      </c>
      <c r="B499" s="73" t="s">
        <v>302</v>
      </c>
      <c r="C499" s="71" t="s">
        <v>303</v>
      </c>
      <c r="D499" s="73" t="s">
        <v>55</v>
      </c>
      <c r="E499" s="50" t="str">
        <f t="shared" si="14"/>
        <v>Фарапонов Никита Александрович;6-16Р160 /2016;143108;№6</v>
      </c>
      <c r="F499" s="50" t="b">
        <f t="shared" si="15"/>
        <v>1</v>
      </c>
      <c r="G499" s="50">
        <f>IF($F499,COUNTIF($F$1:$F499,TRUE),"")</f>
        <v>499</v>
      </c>
      <c r="H499" s="50" t="str">
        <f>IFERROR(INDEX(NameStudent,MATCH(ROWS($H$1:$H499),Index,0)),"")</f>
        <v>Фарапонов Никита Александрович;6-16Р160 /2016;143108;№6</v>
      </c>
    </row>
    <row r="500" spans="1:8" ht="16.149999999999999" customHeight="1" x14ac:dyDescent="0.2">
      <c r="A500" s="72">
        <v>101417</v>
      </c>
      <c r="B500" s="73" t="s">
        <v>56</v>
      </c>
      <c r="C500" s="71" t="s">
        <v>57</v>
      </c>
      <c r="D500" s="73" t="s">
        <v>55</v>
      </c>
      <c r="E500" s="50" t="str">
        <f t="shared" si="14"/>
        <v>Фаттахов Ильнур Салихович;6-13Р154/13;101417;№6</v>
      </c>
      <c r="F500" s="50" t="b">
        <f t="shared" si="15"/>
        <v>1</v>
      </c>
      <c r="G500" s="50">
        <f>IF($F500,COUNTIF($F$1:$F500,TRUE),"")</f>
        <v>500</v>
      </c>
      <c r="H500" s="50" t="str">
        <f>IFERROR(INDEX(NameStudent,MATCH(ROWS($H$1:$H500),Index,0)),"")</f>
        <v>Фаттахов Ильнур Салихович;6-13Р154/13;101417;№6</v>
      </c>
    </row>
    <row r="501" spans="1:8" ht="16.149999999999999" customHeight="1" x14ac:dyDescent="0.2">
      <c r="A501" s="55">
        <v>815193</v>
      </c>
      <c r="B501" s="55" t="s">
        <v>783</v>
      </c>
      <c r="C501" s="58" t="s">
        <v>784</v>
      </c>
      <c r="D501" s="55" t="s">
        <v>55</v>
      </c>
      <c r="E501" s="50" t="str">
        <f t="shared" si="14"/>
        <v>Федоров Александр Юрьевич;6-18Р031/2018;815193;№6</v>
      </c>
      <c r="F501" s="50" t="b">
        <f t="shared" si="15"/>
        <v>1</v>
      </c>
      <c r="G501" s="50">
        <f>IF($F501,COUNTIF($F$1:$F501,TRUE),"")</f>
        <v>501</v>
      </c>
      <c r="H501" s="50" t="str">
        <f>IFERROR(INDEX(NameStudent,MATCH(ROWS($H$1:$H501),Index,0)),"")</f>
        <v>Федоров Александр Юрьевич;6-18Р031/2018;815193;№6</v>
      </c>
    </row>
    <row r="502" spans="1:8" ht="16.149999999999999" customHeight="1" x14ac:dyDescent="0.2">
      <c r="A502" s="72">
        <v>785116</v>
      </c>
      <c r="B502" s="73" t="s">
        <v>494</v>
      </c>
      <c r="C502" s="71" t="s">
        <v>495</v>
      </c>
      <c r="D502" s="73" t="s">
        <v>55</v>
      </c>
      <c r="E502" s="50" t="str">
        <f t="shared" si="14"/>
        <v>Федотов Арсений Игоревич;6-17Р131 /2017;785116;№6</v>
      </c>
      <c r="F502" s="50" t="b">
        <f t="shared" si="15"/>
        <v>1</v>
      </c>
      <c r="G502" s="50">
        <f>IF($F502,COUNTIF($F$1:$F502,TRUE),"")</f>
        <v>502</v>
      </c>
      <c r="H502" s="50" t="str">
        <f>IFERROR(INDEX(NameStudent,MATCH(ROWS($H$1:$H502),Index,0)),"")</f>
        <v>Федотов Арсений Игоревич;6-17Р131 /2017;785116;№6</v>
      </c>
    </row>
    <row r="503" spans="1:8" ht="16.149999999999999" customHeight="1" x14ac:dyDescent="0.2">
      <c r="A503" s="72">
        <v>816140</v>
      </c>
      <c r="B503" s="73" t="s">
        <v>1001</v>
      </c>
      <c r="C503" s="71" t="s">
        <v>1002</v>
      </c>
      <c r="D503" s="73" t="s">
        <v>55</v>
      </c>
      <c r="E503" s="50" t="str">
        <f t="shared" si="14"/>
        <v>Федюшин Кирилл Алкександрович;6-18Р240/18;816140;№6</v>
      </c>
      <c r="F503" s="50" t="b">
        <f t="shared" si="15"/>
        <v>1</v>
      </c>
      <c r="G503" s="50">
        <f>IF($F503,COUNTIF($F$1:$F503,TRUE),"")</f>
        <v>503</v>
      </c>
      <c r="H503" s="50" t="str">
        <f>IFERROR(INDEX(NameStudent,MATCH(ROWS($H$1:$H503),Index,0)),"")</f>
        <v>Федюшин Кирилл Алкександрович;6-18Р240/18;816140;№6</v>
      </c>
    </row>
    <row r="504" spans="1:8" ht="16.149999999999999" customHeight="1" x14ac:dyDescent="0.2">
      <c r="A504" s="72">
        <v>806263</v>
      </c>
      <c r="B504" s="73" t="s">
        <v>606</v>
      </c>
      <c r="C504" s="71" t="s">
        <v>607</v>
      </c>
      <c r="D504" s="73" t="s">
        <v>55</v>
      </c>
      <c r="E504" s="50" t="str">
        <f t="shared" si="14"/>
        <v>Фириченкова Анна Дмитриевна;6-16Р096/2018;806263;№6</v>
      </c>
      <c r="F504" s="50" t="b">
        <f t="shared" si="15"/>
        <v>1</v>
      </c>
      <c r="G504" s="50">
        <f>IF($F504,COUNTIF($F$1:$F504,TRUE),"")</f>
        <v>504</v>
      </c>
      <c r="H504" s="50" t="str">
        <f>IFERROR(INDEX(NameStudent,MATCH(ROWS($H$1:$H504),Index,0)),"")</f>
        <v>Фириченкова Анна Дмитриевна;6-16Р096/2018;806263;№6</v>
      </c>
    </row>
    <row r="505" spans="1:8" ht="16.149999999999999" customHeight="1" x14ac:dyDescent="0.2">
      <c r="A505" s="72">
        <v>127819</v>
      </c>
      <c r="B505" s="73" t="s">
        <v>158</v>
      </c>
      <c r="C505" s="71" t="s">
        <v>159</v>
      </c>
      <c r="D505" s="73" t="s">
        <v>55</v>
      </c>
      <c r="E505" s="50" t="str">
        <f t="shared" si="14"/>
        <v>Фирулёв Иван Сергеевич;6-15Р081 /2015;127819;№6</v>
      </c>
      <c r="F505" s="50" t="b">
        <f t="shared" si="15"/>
        <v>1</v>
      </c>
      <c r="G505" s="50">
        <f>IF($F505,COUNTIF($F$1:$F505,TRUE),"")</f>
        <v>505</v>
      </c>
      <c r="H505" s="50" t="str">
        <f>IFERROR(INDEX(NameStudent,MATCH(ROWS($H$1:$H505),Index,0)),"")</f>
        <v>Фирулёв Иван Сергеевич;6-15Р081 /2015;127819;№6</v>
      </c>
    </row>
    <row r="506" spans="1:8" ht="16.149999999999999" customHeight="1" x14ac:dyDescent="0.2">
      <c r="A506" s="72">
        <v>127820</v>
      </c>
      <c r="B506" s="73" t="s">
        <v>160</v>
      </c>
      <c r="C506" s="71" t="s">
        <v>161</v>
      </c>
      <c r="D506" s="73" t="s">
        <v>55</v>
      </c>
      <c r="E506" s="50" t="str">
        <f t="shared" si="14"/>
        <v>Фоменко Екатерина Сергеевна;6-15Р167 /2015;127820;№6</v>
      </c>
      <c r="F506" s="50" t="b">
        <f t="shared" si="15"/>
        <v>1</v>
      </c>
      <c r="G506" s="50">
        <f>IF($F506,COUNTIF($F$1:$F506,TRUE),"")</f>
        <v>506</v>
      </c>
      <c r="H506" s="50" t="str">
        <f>IFERROR(INDEX(NameStudent,MATCH(ROWS($H$1:$H506),Index,0)),"")</f>
        <v>Фоменко Екатерина Сергеевна;6-15Р167 /2015;127820;№6</v>
      </c>
    </row>
    <row r="507" spans="1:8" ht="16.149999999999999" customHeight="1" x14ac:dyDescent="0.2">
      <c r="A507" s="72">
        <v>784883</v>
      </c>
      <c r="B507" s="73" t="s">
        <v>406</v>
      </c>
      <c r="C507" s="71" t="s">
        <v>407</v>
      </c>
      <c r="D507" s="73" t="s">
        <v>55</v>
      </c>
      <c r="E507" s="50" t="str">
        <f t="shared" si="14"/>
        <v>Фомина Варвара Юрьевна;6-17Р096 /2017;784883;№6</v>
      </c>
      <c r="F507" s="50" t="b">
        <f t="shared" si="15"/>
        <v>1</v>
      </c>
      <c r="G507" s="50">
        <f>IF($F507,COUNTIF($F$1:$F507,TRUE),"")</f>
        <v>507</v>
      </c>
      <c r="H507" s="50" t="str">
        <f>IFERROR(INDEX(NameStudent,MATCH(ROWS($H$1:$H507),Index,0)),"")</f>
        <v>Фомина Варвара Юрьевна;6-17Р096 /2017;784883;№6</v>
      </c>
    </row>
    <row r="508" spans="1:8" ht="16.149999999999999" customHeight="1" x14ac:dyDescent="0.2">
      <c r="A508" s="55">
        <v>821850</v>
      </c>
      <c r="B508" s="55" t="s">
        <v>937</v>
      </c>
      <c r="C508" s="58" t="s">
        <v>938</v>
      </c>
      <c r="D508" s="55" t="s">
        <v>55</v>
      </c>
      <c r="E508" s="50" t="str">
        <f t="shared" si="14"/>
        <v>Фонов Данил Андреевич;6-16Р456/2018;821850;№6</v>
      </c>
      <c r="F508" s="50" t="b">
        <f t="shared" si="15"/>
        <v>1</v>
      </c>
      <c r="G508" s="50">
        <f>IF($F508,COUNTIF($F$1:$F508,TRUE),"")</f>
        <v>508</v>
      </c>
      <c r="H508" s="50" t="str">
        <f>IFERROR(INDEX(NameStudent,MATCH(ROWS($H$1:$H508),Index,0)),"")</f>
        <v>Фонов Данил Андреевич;6-16Р456/2018;821850;№6</v>
      </c>
    </row>
    <row r="509" spans="1:8" ht="16.149999999999999" customHeight="1" x14ac:dyDescent="0.2">
      <c r="A509" s="72">
        <v>784884</v>
      </c>
      <c r="B509" s="73" t="s">
        <v>408</v>
      </c>
      <c r="C509" s="71" t="s">
        <v>409</v>
      </c>
      <c r="D509" s="73" t="s">
        <v>55</v>
      </c>
      <c r="E509" s="50" t="str">
        <f t="shared" si="14"/>
        <v>Хадыев Руслан Наилевич;6-17Р059 /2017;784884;№6</v>
      </c>
      <c r="F509" s="50" t="b">
        <f t="shared" si="15"/>
        <v>1</v>
      </c>
      <c r="G509" s="50">
        <f>IF($F509,COUNTIF($F$1:$F509,TRUE),"")</f>
        <v>509</v>
      </c>
      <c r="H509" s="50" t="str">
        <f>IFERROR(INDEX(NameStudent,MATCH(ROWS($H$1:$H509),Index,0)),"")</f>
        <v>Хадыев Руслан Наилевич;6-17Р059 /2017;784884;№6</v>
      </c>
    </row>
    <row r="510" spans="1:8" ht="16.149999999999999" customHeight="1" x14ac:dyDescent="0.2">
      <c r="A510" s="72">
        <v>143111</v>
      </c>
      <c r="B510" s="73" t="s">
        <v>304</v>
      </c>
      <c r="C510" s="71" t="s">
        <v>305</v>
      </c>
      <c r="D510" s="73" t="s">
        <v>55</v>
      </c>
      <c r="E510" s="50" t="str">
        <f t="shared" si="14"/>
        <v>Халиков Рамиль Маратович;6-16Р127 /2016;143111;№6</v>
      </c>
      <c r="F510" s="50" t="b">
        <f t="shared" si="15"/>
        <v>1</v>
      </c>
      <c r="G510" s="50">
        <f>IF($F510,COUNTIF($F$1:$F510,TRUE),"")</f>
        <v>510</v>
      </c>
      <c r="H510" s="50" t="str">
        <f>IFERROR(INDEX(NameStudent,MATCH(ROWS($H$1:$H510),Index,0)),"")</f>
        <v>Халиков Рамиль Маратович;6-16Р127 /2016;143111;№6</v>
      </c>
    </row>
    <row r="511" spans="1:8" ht="16.149999999999999" customHeight="1" x14ac:dyDescent="0.2">
      <c r="A511" s="55">
        <v>815194</v>
      </c>
      <c r="B511" s="55" t="s">
        <v>785</v>
      </c>
      <c r="C511" s="58" t="s">
        <v>786</v>
      </c>
      <c r="D511" s="55" t="s">
        <v>55</v>
      </c>
      <c r="E511" s="50" t="str">
        <f t="shared" si="14"/>
        <v>Харисов Рустем Рамилевич;6-18Р169/2018;815194;№6</v>
      </c>
      <c r="F511" s="50" t="b">
        <f t="shared" si="15"/>
        <v>1</v>
      </c>
      <c r="G511" s="50">
        <f>IF($F511,COUNTIF($F$1:$F511,TRUE),"")</f>
        <v>511</v>
      </c>
      <c r="H511" s="50" t="str">
        <f>IFERROR(INDEX(NameStudent,MATCH(ROWS($H$1:$H511),Index,0)),"")</f>
        <v>Харисов Рустем Рамилевич;6-18Р169/2018;815194;№6</v>
      </c>
    </row>
    <row r="512" spans="1:8" ht="16.149999999999999" customHeight="1" x14ac:dyDescent="0.2">
      <c r="A512" s="72">
        <v>788209</v>
      </c>
      <c r="B512" s="73" t="s">
        <v>560</v>
      </c>
      <c r="C512" s="71" t="s">
        <v>561</v>
      </c>
      <c r="D512" s="73" t="s">
        <v>55</v>
      </c>
      <c r="E512" s="50" t="str">
        <f t="shared" si="14"/>
        <v>Харитонов Евгений Юрьевич;6-16Р139 /2017;788209;№6</v>
      </c>
      <c r="F512" s="50" t="b">
        <f t="shared" si="15"/>
        <v>1</v>
      </c>
      <c r="G512" s="50">
        <f>IF($F512,COUNTIF($F$1:$F512,TRUE),"")</f>
        <v>512</v>
      </c>
      <c r="H512" s="50" t="str">
        <f>IFERROR(INDEX(NameStudent,MATCH(ROWS($H$1:$H512),Index,0)),"")</f>
        <v>Харитонов Евгений Юрьевич;6-16Р139 /2017;788209;№6</v>
      </c>
    </row>
    <row r="513" spans="1:8" ht="16.149999999999999" customHeight="1" x14ac:dyDescent="0.2">
      <c r="A513" s="55">
        <v>815195</v>
      </c>
      <c r="B513" s="55" t="s">
        <v>787</v>
      </c>
      <c r="C513" s="58" t="s">
        <v>788</v>
      </c>
      <c r="D513" s="55" t="s">
        <v>55</v>
      </c>
      <c r="E513" s="50" t="str">
        <f t="shared" ref="E513:E576" si="16">LEFT(C513,IF(ISERROR(FIND(":",C513))=TRUE,LEN(C513),FIND(":",C513)-1)) &amp; ";" &amp; B513 &amp; ";" &amp; A513 &amp; ";" &amp;D513</f>
        <v>Хасанов Руслан Нуралиевич;6-18Р154/2018;815195;№6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Хасанов Руслан Нуралиевич;6-18Р154/2018;815195;№6</v>
      </c>
    </row>
    <row r="514" spans="1:8" ht="16.149999999999999" customHeight="1" x14ac:dyDescent="0.2">
      <c r="A514" s="55">
        <v>815196</v>
      </c>
      <c r="B514" s="55" t="s">
        <v>789</v>
      </c>
      <c r="C514" s="58" t="s">
        <v>790</v>
      </c>
      <c r="D514" s="55" t="s">
        <v>55</v>
      </c>
      <c r="E514" s="50" t="str">
        <f t="shared" si="16"/>
        <v>Хикматуллин Рамиль Рустамович;6-18Р170/2018;815196;№6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Хикматуллин Рамиль Рустамович;6-18Р170/2018;815196;№6</v>
      </c>
    </row>
    <row r="515" spans="1:8" ht="16.149999999999999" customHeight="1" x14ac:dyDescent="0.2">
      <c r="A515" s="72">
        <v>137187</v>
      </c>
      <c r="B515" s="73" t="s">
        <v>192</v>
      </c>
      <c r="C515" s="71" t="s">
        <v>193</v>
      </c>
      <c r="D515" s="73" t="s">
        <v>55</v>
      </c>
      <c r="E515" s="50" t="str">
        <f t="shared" si="16"/>
        <v>Химочкина Мария Владимировна;6-15Р241 /2016;137187;№6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Химочкина Мария Владимировна;6-15Р241 /2016;137187;№6</v>
      </c>
    </row>
    <row r="516" spans="1:8" ht="16.149999999999999" customHeight="1" x14ac:dyDescent="0.2">
      <c r="A516" s="72">
        <v>817777</v>
      </c>
      <c r="B516" s="73" t="s">
        <v>1025</v>
      </c>
      <c r="C516" s="71" t="s">
        <v>1026</v>
      </c>
      <c r="D516" s="73" t="s">
        <v>55</v>
      </c>
      <c r="E516" s="50" t="str">
        <f t="shared" si="16"/>
        <v>Хмылев Кирилл Валерьевич;6-16Р215/18;817777;№6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Хмылев Кирилл Валерьевич;6-16Р215/18;817777;№6</v>
      </c>
    </row>
    <row r="517" spans="1:8" ht="16.149999999999999" customHeight="1" x14ac:dyDescent="0.2">
      <c r="A517" s="72">
        <v>816770</v>
      </c>
      <c r="B517" s="73" t="s">
        <v>1087</v>
      </c>
      <c r="C517" s="71" t="s">
        <v>1088</v>
      </c>
      <c r="D517" s="73" t="s">
        <v>55</v>
      </c>
      <c r="E517" s="50" t="str">
        <f t="shared" si="16"/>
        <v>Хоанг Дык Там  ;6-17ИМ46/2018;816770;№6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Хоанг Дык Там  ;6-17ИМ46/2018;816770;№6</v>
      </c>
    </row>
    <row r="518" spans="1:8" ht="16.149999999999999" customHeight="1" x14ac:dyDescent="0.2">
      <c r="A518" s="72">
        <v>806577</v>
      </c>
      <c r="B518" s="73" t="s">
        <v>608</v>
      </c>
      <c r="C518" s="71" t="s">
        <v>609</v>
      </c>
      <c r="D518" s="73" t="s">
        <v>55</v>
      </c>
      <c r="E518" s="50" t="str">
        <f t="shared" si="16"/>
        <v>Ходырев Иван Алексеевич;6-16Р064/2018;806577;№6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Ходырев Иван Алексеевич;6-16Р064/2018;806577;№6</v>
      </c>
    </row>
    <row r="519" spans="1:8" ht="16.149999999999999" customHeight="1" x14ac:dyDescent="0.2">
      <c r="A519" s="55">
        <v>815197</v>
      </c>
      <c r="B519" s="55" t="s">
        <v>791</v>
      </c>
      <c r="C519" s="58" t="s">
        <v>792</v>
      </c>
      <c r="D519" s="55" t="s">
        <v>55</v>
      </c>
      <c r="E519" s="50" t="str">
        <f t="shared" si="16"/>
        <v>Хонинова Карина Доржиевна;6-18Р108/2018;815197;№6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Хонинова Карина Доржиевна;6-18Р108/2018;815197;№6</v>
      </c>
    </row>
    <row r="520" spans="1:8" ht="16.149999999999999" customHeight="1" x14ac:dyDescent="0.2">
      <c r="A520" s="72">
        <v>785488</v>
      </c>
      <c r="B520" s="73" t="s">
        <v>538</v>
      </c>
      <c r="C520" s="71" t="s">
        <v>539</v>
      </c>
      <c r="D520" s="73" t="s">
        <v>55</v>
      </c>
      <c r="E520" s="50" t="str">
        <f t="shared" si="16"/>
        <v>Хохлов Борис Сергеевич;6-17Р019 /2017;785488;№6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Хохлов Борис Сергеевич;6-17Р019 /2017;785488;№6</v>
      </c>
    </row>
    <row r="521" spans="1:8" ht="16.149999999999999" customHeight="1" x14ac:dyDescent="0.2">
      <c r="A521" s="72">
        <v>784885</v>
      </c>
      <c r="B521" s="73" t="s">
        <v>410</v>
      </c>
      <c r="C521" s="71" t="s">
        <v>411</v>
      </c>
      <c r="D521" s="73" t="s">
        <v>55</v>
      </c>
      <c r="E521" s="50" t="str">
        <f t="shared" si="16"/>
        <v>Хрящев Даниил Хасанович;6-17Р132 /2017;784885;№6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Хрящев Даниил Хасанович;6-17Р132 /2017;784885;№6</v>
      </c>
    </row>
    <row r="522" spans="1:8" ht="16.149999999999999" customHeight="1" x14ac:dyDescent="0.2">
      <c r="A522" s="72">
        <v>816768</v>
      </c>
      <c r="B522" s="73" t="s">
        <v>1085</v>
      </c>
      <c r="C522" s="71" t="s">
        <v>1086</v>
      </c>
      <c r="D522" s="73" t="s">
        <v>55</v>
      </c>
      <c r="E522" s="50" t="str">
        <f t="shared" si="16"/>
        <v>Хури Марк  ;6-17ИМ48/2018;816768;№6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Хури Марк  ;6-17ИМ48/2018;816768;№6</v>
      </c>
    </row>
    <row r="523" spans="1:8" ht="16.149999999999999" customHeight="1" x14ac:dyDescent="0.2">
      <c r="A523" s="72">
        <v>820322</v>
      </c>
      <c r="B523" s="73" t="s">
        <v>1111</v>
      </c>
      <c r="C523" s="71" t="s">
        <v>1112</v>
      </c>
      <c r="D523" s="73" t="s">
        <v>55</v>
      </c>
      <c r="E523" s="50" t="str">
        <f t="shared" si="16"/>
        <v>Цай Чжэнсинь  ;6-17ИМ47/2018;820322;№6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Цай Чжэнсинь  ;6-17ИМ47/2018;820322;№6</v>
      </c>
    </row>
    <row r="524" spans="1:8" ht="16.149999999999999" customHeight="1" x14ac:dyDescent="0.2">
      <c r="A524" s="72">
        <v>816772</v>
      </c>
      <c r="B524" s="73" t="s">
        <v>1089</v>
      </c>
      <c r="C524" s="71" t="s">
        <v>1090</v>
      </c>
      <c r="D524" s="73" t="s">
        <v>55</v>
      </c>
      <c r="E524" s="50" t="str">
        <f t="shared" si="16"/>
        <v>Цао Чэнхао  ;6-17ИР09/2018;816772;№6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Цао Чэнхао  ;6-17ИР09/2018;816772;№6</v>
      </c>
    </row>
    <row r="525" spans="1:8" ht="16.149999999999999" customHeight="1" x14ac:dyDescent="0.2">
      <c r="A525" s="72">
        <v>785489</v>
      </c>
      <c r="B525" s="73" t="s">
        <v>540</v>
      </c>
      <c r="C525" s="71" t="s">
        <v>541</v>
      </c>
      <c r="D525" s="73" t="s">
        <v>55</v>
      </c>
      <c r="E525" s="50" t="str">
        <f t="shared" si="16"/>
        <v>Царева Алиса Андреевна;6-16Р450 /2017;785489;№6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Царева Алиса Андреевна;6-16Р450 /2017;785489;№6</v>
      </c>
    </row>
    <row r="526" spans="1:8" ht="16.149999999999999" customHeight="1" x14ac:dyDescent="0.2">
      <c r="A526" s="72">
        <v>820543</v>
      </c>
      <c r="B526" s="73" t="s">
        <v>1175</v>
      </c>
      <c r="C526" s="71" t="s">
        <v>1176</v>
      </c>
      <c r="D526" s="73" t="s">
        <v>55</v>
      </c>
      <c r="E526" s="50" t="str">
        <f t="shared" si="16"/>
        <v>Цзо Пэн  ;6-17ИП150/2018;820543;№6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Цзо Пэн  ;6-17ИП150/2018;820543;№6</v>
      </c>
    </row>
    <row r="527" spans="1:8" ht="16.149999999999999" customHeight="1" x14ac:dyDescent="0.2">
      <c r="A527" s="72">
        <v>820311</v>
      </c>
      <c r="B527" s="73" t="s">
        <v>1107</v>
      </c>
      <c r="C527" s="71" t="s">
        <v>1108</v>
      </c>
      <c r="D527" s="73" t="s">
        <v>55</v>
      </c>
      <c r="E527" s="50" t="str">
        <f t="shared" si="16"/>
        <v>Цзя Жуйфэн  ;6-17ИМ75/2018;820311;№6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Цзя Жуйфэн  ;6-17ИМ75/2018;820311;№6</v>
      </c>
    </row>
    <row r="528" spans="1:8" ht="16.149999999999999" customHeight="1" x14ac:dyDescent="0.2">
      <c r="A528" s="55">
        <v>815198</v>
      </c>
      <c r="B528" s="55" t="s">
        <v>793</v>
      </c>
      <c r="C528" s="58" t="s">
        <v>794</v>
      </c>
      <c r="D528" s="55" t="s">
        <v>55</v>
      </c>
      <c r="E528" s="50" t="str">
        <f t="shared" si="16"/>
        <v>Цисевич Никита Евгеньевич;6-18Р155/2018;815198;№6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Цисевич Никита Евгеньевич;6-18Р155/2018;815198;№6</v>
      </c>
    </row>
    <row r="529" spans="1:8" ht="16.149999999999999" customHeight="1" x14ac:dyDescent="0.2">
      <c r="A529" s="72">
        <v>820539</v>
      </c>
      <c r="B529" s="73" t="s">
        <v>1171</v>
      </c>
      <c r="C529" s="71" t="s">
        <v>1172</v>
      </c>
      <c r="D529" s="73" t="s">
        <v>55</v>
      </c>
      <c r="E529" s="50" t="str">
        <f t="shared" si="16"/>
        <v>Цюй Куйдун ;6-18ИМ44/2018;820539;№6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Цюй Куйдун ;6-18ИМ44/2018;820539;№6</v>
      </c>
    </row>
    <row r="530" spans="1:8" ht="16.149999999999999" customHeight="1" x14ac:dyDescent="0.2">
      <c r="A530" s="72">
        <v>820541</v>
      </c>
      <c r="B530" s="73" t="s">
        <v>1173</v>
      </c>
      <c r="C530" s="71" t="s">
        <v>1174</v>
      </c>
      <c r="D530" s="73" t="s">
        <v>55</v>
      </c>
      <c r="E530" s="50" t="str">
        <f t="shared" si="16"/>
        <v>Цюй Цзяхэн  ;6-18ИМ69/2018;820541;№6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Цюй Цзяхэн  ;6-18ИМ69/2018;820541;№6</v>
      </c>
    </row>
    <row r="531" spans="1:8" ht="16.149999999999999" customHeight="1" x14ac:dyDescent="0.2">
      <c r="A531" s="55">
        <v>815199</v>
      </c>
      <c r="B531" s="55" t="s">
        <v>795</v>
      </c>
      <c r="C531" s="58" t="s">
        <v>796</v>
      </c>
      <c r="D531" s="55" t="s">
        <v>55</v>
      </c>
      <c r="E531" s="50" t="str">
        <f t="shared" si="16"/>
        <v>Чабанов Владислав Андреевич;6-18Р128/2018;815199;№6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Чабанов Владислав Андреевич;6-18Р128/2018;815199;№6</v>
      </c>
    </row>
    <row r="532" spans="1:8" ht="16.149999999999999" customHeight="1" x14ac:dyDescent="0.2">
      <c r="A532" s="72">
        <v>113655</v>
      </c>
      <c r="B532" s="73" t="s">
        <v>70</v>
      </c>
      <c r="C532" s="71" t="s">
        <v>71</v>
      </c>
      <c r="D532" s="73" t="s">
        <v>55</v>
      </c>
      <c r="E532" s="50" t="str">
        <f t="shared" si="16"/>
        <v>Чапурина Надежда Александровна;6-14Р148/2014;113655;№6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Чапурина Надежда Александровна;6-14Р148/2014;113655;№6</v>
      </c>
    </row>
    <row r="533" spans="1:8" ht="16.149999999999999" customHeight="1" x14ac:dyDescent="0.2">
      <c r="A533" s="72">
        <v>785117</v>
      </c>
      <c r="B533" s="73" t="s">
        <v>496</v>
      </c>
      <c r="C533" s="71" t="s">
        <v>497</v>
      </c>
      <c r="D533" s="73" t="s">
        <v>55</v>
      </c>
      <c r="E533" s="50" t="str">
        <f t="shared" si="16"/>
        <v>Чаусов Никита Романович;6-17Р097 /2017;785117;№6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Чаусов Никита Романович;6-17Р097 /2017;785117;№6</v>
      </c>
    </row>
    <row r="534" spans="1:8" ht="16.149999999999999" customHeight="1" x14ac:dyDescent="0.2">
      <c r="A534" s="72">
        <v>785490</v>
      </c>
      <c r="B534" s="73" t="s">
        <v>542</v>
      </c>
      <c r="C534" s="71" t="s">
        <v>543</v>
      </c>
      <c r="D534" s="73" t="s">
        <v>55</v>
      </c>
      <c r="E534" s="50" t="str">
        <f t="shared" si="16"/>
        <v>Чепурнов Михаил Юрьевич;6-17Р134 /2017;785490;№6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Чепурнов Михаил Юрьевич;6-17Р134 /2017;785490;№6</v>
      </c>
    </row>
    <row r="535" spans="1:8" ht="16.149999999999999" customHeight="1" x14ac:dyDescent="0.2">
      <c r="A535" s="55">
        <v>815200</v>
      </c>
      <c r="B535" s="55" t="s">
        <v>797</v>
      </c>
      <c r="C535" s="58" t="s">
        <v>798</v>
      </c>
      <c r="D535" s="55" t="s">
        <v>55</v>
      </c>
      <c r="E535" s="50" t="str">
        <f t="shared" si="16"/>
        <v>Черженцев Никита Дмитриевич;6-18Р197/2018;815200;№6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Черженцев Никита Дмитриевич;6-18Р197/2018;815200;№6</v>
      </c>
    </row>
    <row r="536" spans="1:8" ht="16.149999999999999" customHeight="1" x14ac:dyDescent="0.2">
      <c r="A536" s="72">
        <v>127823</v>
      </c>
      <c r="B536" s="73" t="s">
        <v>162</v>
      </c>
      <c r="C536" s="71" t="s">
        <v>163</v>
      </c>
      <c r="D536" s="73" t="s">
        <v>55</v>
      </c>
      <c r="E536" s="50" t="str">
        <f t="shared" si="16"/>
        <v>Черников Максим Дмитриевич;6-15Р085 /2015;127823;№6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Черников Максим Дмитриевич;6-15Р085 /2015;127823;№6</v>
      </c>
    </row>
    <row r="537" spans="1:8" ht="16.149999999999999" customHeight="1" x14ac:dyDescent="0.2">
      <c r="A537" s="72">
        <v>143118</v>
      </c>
      <c r="B537" s="73" t="s">
        <v>306</v>
      </c>
      <c r="C537" s="71" t="s">
        <v>307</v>
      </c>
      <c r="D537" s="73" t="s">
        <v>55</v>
      </c>
      <c r="E537" s="50" t="str">
        <f t="shared" si="16"/>
        <v>Чернов Михаил Михайлович;6-16Р067 /2016;143118;№6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Чернов Михаил Михайлович;6-16Р067 /2016;143118;№6</v>
      </c>
    </row>
    <row r="538" spans="1:8" ht="16.149999999999999" customHeight="1" x14ac:dyDescent="0.2">
      <c r="A538" s="72">
        <v>784886</v>
      </c>
      <c r="B538" s="73" t="s">
        <v>412</v>
      </c>
      <c r="C538" s="71" t="s">
        <v>413</v>
      </c>
      <c r="D538" s="73" t="s">
        <v>55</v>
      </c>
      <c r="E538" s="50" t="str">
        <f t="shared" si="16"/>
        <v>Чернышев Сергей Алексеевич;6-17Р061 /2017;784886;№6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Чернышев Сергей Алексеевич;6-17Р061 /2017;784886;№6</v>
      </c>
    </row>
    <row r="539" spans="1:8" ht="16.149999999999999" customHeight="1" x14ac:dyDescent="0.2">
      <c r="A539" s="72">
        <v>820549</v>
      </c>
      <c r="B539" s="73" t="s">
        <v>1179</v>
      </c>
      <c r="C539" s="71" t="s">
        <v>1180</v>
      </c>
      <c r="D539" s="73" t="s">
        <v>55</v>
      </c>
      <c r="E539" s="50" t="str">
        <f t="shared" si="16"/>
        <v>Чжан Мэну ;6-18ИР05/2018;820549;№6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Чжан Мэну ;6-18ИР05/2018;820549;№6</v>
      </c>
    </row>
    <row r="540" spans="1:8" ht="16.149999999999999" customHeight="1" x14ac:dyDescent="0.2">
      <c r="A540" s="72">
        <v>816774</v>
      </c>
      <c r="B540" s="73" t="s">
        <v>1091</v>
      </c>
      <c r="C540" s="71" t="s">
        <v>1092</v>
      </c>
      <c r="D540" s="73" t="s">
        <v>55</v>
      </c>
      <c r="E540" s="50" t="str">
        <f t="shared" si="16"/>
        <v>Чжан Цзюньцзе  ;6-16ИР08/2018;816774;№6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Чжан Цзюньцзе  ;6-16ИР08/2018;816774;№6</v>
      </c>
    </row>
    <row r="541" spans="1:8" ht="16.149999999999999" customHeight="1" x14ac:dyDescent="0.2">
      <c r="A541" s="72">
        <v>816778</v>
      </c>
      <c r="B541" s="73" t="s">
        <v>1093</v>
      </c>
      <c r="C541" s="71" t="s">
        <v>1094</v>
      </c>
      <c r="D541" s="73" t="s">
        <v>55</v>
      </c>
      <c r="E541" s="50" t="str">
        <f t="shared" si="16"/>
        <v>Чжу Енин  ;6-17ИР10/2018;816778;№6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Чжу Енин  ;6-17ИР10/2018;816778;№6</v>
      </c>
    </row>
    <row r="542" spans="1:8" ht="16.149999999999999" customHeight="1" x14ac:dyDescent="0.2">
      <c r="A542" s="72">
        <v>780667</v>
      </c>
      <c r="B542" s="73" t="s">
        <v>348</v>
      </c>
      <c r="C542" s="71" t="s">
        <v>349</v>
      </c>
      <c r="D542" s="73" t="s">
        <v>55</v>
      </c>
      <c r="E542" s="50" t="str">
        <f t="shared" si="16"/>
        <v>Чижевский Станислав Эдуардович;6-15М751 /2017;780667;№6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Чижевский Станислав Эдуардович;6-15М751 /2017;780667;№6</v>
      </c>
    </row>
    <row r="543" spans="1:8" ht="16.149999999999999" customHeight="1" x14ac:dyDescent="0.2">
      <c r="A543" s="72">
        <v>127825</v>
      </c>
      <c r="B543" s="73" t="s">
        <v>164</v>
      </c>
      <c r="C543" s="71" t="s">
        <v>165</v>
      </c>
      <c r="D543" s="73" t="s">
        <v>55</v>
      </c>
      <c r="E543" s="50" t="str">
        <f t="shared" si="16"/>
        <v>Чуканова Арина Андреевна;6-14Ю027 /2015;127825;№6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Чуканова Арина Андреевна;6-14Ю027 /2015;127825;№6</v>
      </c>
    </row>
    <row r="544" spans="1:8" ht="16.149999999999999" customHeight="1" x14ac:dyDescent="0.2">
      <c r="A544" s="72">
        <v>127828</v>
      </c>
      <c r="B544" s="73" t="s">
        <v>166</v>
      </c>
      <c r="C544" s="71" t="s">
        <v>167</v>
      </c>
      <c r="D544" s="73" t="s">
        <v>55</v>
      </c>
      <c r="E544" s="50" t="str">
        <f t="shared" si="16"/>
        <v>Чуносов Илья Сергеевич;6-15Р169 /2015;127828;№6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Чуносов Илья Сергеевич;6-15Р169 /2015;127828;№6</v>
      </c>
    </row>
    <row r="545" spans="1:8" ht="16.149999999999999" customHeight="1" x14ac:dyDescent="0.2">
      <c r="A545" s="72">
        <v>820547</v>
      </c>
      <c r="B545" s="73" t="s">
        <v>1177</v>
      </c>
      <c r="C545" s="71" t="s">
        <v>1178</v>
      </c>
      <c r="D545" s="73" t="s">
        <v>55</v>
      </c>
      <c r="E545" s="50" t="str">
        <f t="shared" si="16"/>
        <v>Чэнь Цзюян ;6-18ИМ51/2018;820547;№6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Чэнь Цзюян ;6-18ИМ51/2018;820547;№6</v>
      </c>
    </row>
    <row r="546" spans="1:8" ht="16.149999999999999" customHeight="1" x14ac:dyDescent="0.2">
      <c r="A546" s="55">
        <v>815201</v>
      </c>
      <c r="B546" s="55" t="s">
        <v>799</v>
      </c>
      <c r="C546" s="58" t="s">
        <v>800</v>
      </c>
      <c r="D546" s="55" t="s">
        <v>55</v>
      </c>
      <c r="E546" s="50" t="str">
        <f t="shared" si="16"/>
        <v>Шабров Михаил Владимирович;6-18Р132/2018;815201;№6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Шабров Михаил Владимирович;6-18Р132/2018;815201;№6</v>
      </c>
    </row>
    <row r="547" spans="1:8" ht="16.149999999999999" customHeight="1" x14ac:dyDescent="0.2">
      <c r="A547" s="55">
        <v>815202</v>
      </c>
      <c r="B547" s="55" t="s">
        <v>801</v>
      </c>
      <c r="C547" s="58" t="s">
        <v>802</v>
      </c>
      <c r="D547" s="55" t="s">
        <v>55</v>
      </c>
      <c r="E547" s="50" t="str">
        <f t="shared" si="16"/>
        <v>Шавалеев Максим Вадимович;6-18Р012/2018;815202;№6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Шавалеев Максим Вадимович;6-18Р012/2018;815202;№6</v>
      </c>
    </row>
    <row r="548" spans="1:8" ht="16.149999999999999" customHeight="1" x14ac:dyDescent="0.2">
      <c r="A548" s="55">
        <v>815203</v>
      </c>
      <c r="B548" s="55" t="s">
        <v>803</v>
      </c>
      <c r="C548" s="58" t="s">
        <v>804</v>
      </c>
      <c r="D548" s="55" t="s">
        <v>55</v>
      </c>
      <c r="E548" s="50" t="str">
        <f t="shared" si="16"/>
        <v>Шавшина Виктория Олеговна;6-18Р109/2018;815203;№6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Шавшина Виктория Олеговна;6-18Р109/2018;815203;№6</v>
      </c>
    </row>
    <row r="549" spans="1:8" ht="16.149999999999999" customHeight="1" x14ac:dyDescent="0.2">
      <c r="A549" s="72">
        <v>785492</v>
      </c>
      <c r="B549" s="73" t="s">
        <v>544</v>
      </c>
      <c r="C549" s="71" t="s">
        <v>545</v>
      </c>
      <c r="D549" s="73" t="s">
        <v>55</v>
      </c>
      <c r="E549" s="50" t="str">
        <f t="shared" si="16"/>
        <v>Шадрин Максим Кириллович;6-16М006 /2017;785492;№6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Шадрин Максим Кириллович;6-16М006 /2017;785492;№6</v>
      </c>
    </row>
    <row r="550" spans="1:8" ht="16.149999999999999" customHeight="1" x14ac:dyDescent="0.2">
      <c r="A550" s="72">
        <v>820558</v>
      </c>
      <c r="B550" s="73" t="s">
        <v>1181</v>
      </c>
      <c r="C550" s="71" t="s">
        <v>1182</v>
      </c>
      <c r="D550" s="73" t="s">
        <v>55</v>
      </c>
      <c r="E550" s="50" t="str">
        <f t="shared" si="16"/>
        <v>Шанто Шахриар Моршед ;6-18ИМ58/2018;820558;№6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Шанто Шахриар Моршед ;6-18ИМ58/2018;820558;№6</v>
      </c>
    </row>
    <row r="551" spans="1:8" ht="16.149999999999999" customHeight="1" x14ac:dyDescent="0.2">
      <c r="A551" s="55">
        <v>815204</v>
      </c>
      <c r="B551" s="55" t="s">
        <v>805</v>
      </c>
      <c r="C551" s="58" t="s">
        <v>806</v>
      </c>
      <c r="D551" s="55" t="s">
        <v>55</v>
      </c>
      <c r="E551" s="50" t="str">
        <f t="shared" si="16"/>
        <v>Шаньгина Анна Сергеевна;6-18Р110/2018;815204;№6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Шаньгина Анна Сергеевна;6-18Р110/2018;815204;№6</v>
      </c>
    </row>
    <row r="552" spans="1:8" ht="16.149999999999999" customHeight="1" x14ac:dyDescent="0.2">
      <c r="A552" s="72">
        <v>149143</v>
      </c>
      <c r="B552" s="73" t="s">
        <v>338</v>
      </c>
      <c r="C552" s="71" t="s">
        <v>339</v>
      </c>
      <c r="D552" s="73" t="s">
        <v>55</v>
      </c>
      <c r="E552" s="50" t="str">
        <f t="shared" si="16"/>
        <v>Шаракшанэ Тумэн Баирович;6-15Р413 /2016;149143;№6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Шаракшанэ Тумэн Баирович;6-15Р413 /2016;149143;№6</v>
      </c>
    </row>
    <row r="553" spans="1:8" ht="16.149999999999999" customHeight="1" x14ac:dyDescent="0.2">
      <c r="A553" s="72">
        <v>807315</v>
      </c>
      <c r="B553" s="73" t="s">
        <v>610</v>
      </c>
      <c r="C553" s="71" t="s">
        <v>611</v>
      </c>
      <c r="D553" s="73" t="s">
        <v>55</v>
      </c>
      <c r="E553" s="50" t="str">
        <f t="shared" si="16"/>
        <v>Шатрунов Александр Александрович;6-15М506/2018;807315;№6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Шатрунов Александр Александрович;6-15М506/2018;807315;№6</v>
      </c>
    </row>
    <row r="554" spans="1:8" ht="16.149999999999999" customHeight="1" x14ac:dyDescent="0.2">
      <c r="A554" s="72">
        <v>792265</v>
      </c>
      <c r="B554" s="73" t="s">
        <v>586</v>
      </c>
      <c r="C554" s="71" t="s">
        <v>587</v>
      </c>
      <c r="D554" s="73" t="s">
        <v>55</v>
      </c>
      <c r="E554" s="50" t="str">
        <f t="shared" si="16"/>
        <v>Шеберов Игорь Максимович;6-14М329/2017;792265;№6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Шеберов Игорь Максимович;6-14М329/2017;792265;№6</v>
      </c>
    </row>
    <row r="555" spans="1:8" ht="16.149999999999999" customHeight="1" x14ac:dyDescent="0.2">
      <c r="A555" s="72">
        <v>784887</v>
      </c>
      <c r="B555" s="73" t="s">
        <v>414</v>
      </c>
      <c r="C555" s="71" t="s">
        <v>415</v>
      </c>
      <c r="D555" s="73" t="s">
        <v>55</v>
      </c>
      <c r="E555" s="50" t="str">
        <f t="shared" si="16"/>
        <v>Шеронов Денис Евгеньевич;6-17Р198 /2017;784887;№6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Шеронов Денис Евгеньевич;6-17Р198 /2017;784887;№6</v>
      </c>
    </row>
    <row r="556" spans="1:8" ht="16.149999999999999" customHeight="1" x14ac:dyDescent="0.2">
      <c r="A556" s="55">
        <v>816868</v>
      </c>
      <c r="B556" s="55" t="s">
        <v>859</v>
      </c>
      <c r="C556" s="58" t="s">
        <v>860</v>
      </c>
      <c r="D556" s="55" t="s">
        <v>55</v>
      </c>
      <c r="E556" s="50" t="str">
        <f t="shared" si="16"/>
        <v>Шестопалов Сергей Алексеевич;6-18Р199/2018;816868;№6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Шестопалов Сергей Алексеевич;6-18Р199/2018;816868;№6</v>
      </c>
    </row>
    <row r="557" spans="1:8" ht="16.149999999999999" customHeight="1" x14ac:dyDescent="0.2">
      <c r="A557" s="72">
        <v>101392</v>
      </c>
      <c r="B557" s="73" t="s">
        <v>53</v>
      </c>
      <c r="C557" s="71" t="s">
        <v>54</v>
      </c>
      <c r="D557" s="73" t="s">
        <v>55</v>
      </c>
      <c r="E557" s="50" t="str">
        <f t="shared" si="16"/>
        <v>Шешин Александр Валерьевич;6-13Р157/13;101392;№6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Шешин Александр Валерьевич;6-13Р157/13;101392;№6</v>
      </c>
    </row>
    <row r="558" spans="1:8" ht="16.149999999999999" customHeight="1" x14ac:dyDescent="0.2">
      <c r="A558" s="72">
        <v>788210</v>
      </c>
      <c r="B558" s="73" t="s">
        <v>562</v>
      </c>
      <c r="C558" s="71" t="s">
        <v>563</v>
      </c>
      <c r="D558" s="73" t="s">
        <v>55</v>
      </c>
      <c r="E558" s="50" t="str">
        <f t="shared" si="16"/>
        <v>Шивидова Аделина Александровна;6-17РМ070 /2017;788210;№6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Шивидова Аделина Александровна;6-17РМ070 /2017;788210;№6</v>
      </c>
    </row>
    <row r="559" spans="1:8" ht="16.149999999999999" customHeight="1" x14ac:dyDescent="0.2">
      <c r="A559" s="72">
        <v>817362</v>
      </c>
      <c r="B559" s="73" t="s">
        <v>1005</v>
      </c>
      <c r="C559" s="71" t="s">
        <v>1006</v>
      </c>
      <c r="D559" s="73" t="s">
        <v>55</v>
      </c>
      <c r="E559" s="50" t="str">
        <f t="shared" si="16"/>
        <v>Шипилов Павел Максимович;6-18Р241/18;817362;№6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Шипилов Павел Максимович;6-18Р241/18;817362;№6</v>
      </c>
    </row>
    <row r="560" spans="1:8" ht="16.149999999999999" customHeight="1" x14ac:dyDescent="0.2">
      <c r="A560" s="55">
        <v>815205</v>
      </c>
      <c r="B560" s="55" t="s">
        <v>807</v>
      </c>
      <c r="C560" s="58" t="s">
        <v>808</v>
      </c>
      <c r="D560" s="55" t="s">
        <v>55</v>
      </c>
      <c r="E560" s="50" t="str">
        <f t="shared" si="16"/>
        <v>Шляхов Михаил Владимирович;6-18Р156/2018;815205;№6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Шляхов Михаил Владимирович;6-18Р156/2018;815205;№6</v>
      </c>
    </row>
    <row r="561" spans="1:8" ht="16.149999999999999" customHeight="1" x14ac:dyDescent="0.2">
      <c r="A561" s="72">
        <v>127830</v>
      </c>
      <c r="B561" s="73" t="s">
        <v>168</v>
      </c>
      <c r="C561" s="71" t="s">
        <v>169</v>
      </c>
      <c r="D561" s="73" t="s">
        <v>55</v>
      </c>
      <c r="E561" s="50" t="str">
        <f t="shared" si="16"/>
        <v>Шпичко Владимир Дмитриевич;6-15Р091 /2015;127830;№6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Шпичко Владимир Дмитриевич;6-15Р091 /2015;127830;№6</v>
      </c>
    </row>
    <row r="562" spans="1:8" ht="16.149999999999999" customHeight="1" x14ac:dyDescent="0.2">
      <c r="A562" s="55">
        <v>817766</v>
      </c>
      <c r="B562" s="55" t="s">
        <v>905</v>
      </c>
      <c r="C562" s="58" t="s">
        <v>906</v>
      </c>
      <c r="D562" s="55" t="s">
        <v>55</v>
      </c>
      <c r="E562" s="50" t="str">
        <f t="shared" si="16"/>
        <v>Шувалова Екатерина Владимировна;6-14Ю018/2018;817766;№6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Шувалова Екатерина Владимировна;6-14Ю018/2018;817766;№6</v>
      </c>
    </row>
    <row r="563" spans="1:8" ht="16.149999999999999" customHeight="1" x14ac:dyDescent="0.2">
      <c r="A563" s="55">
        <v>827189</v>
      </c>
      <c r="B563" s="55" t="s">
        <v>961</v>
      </c>
      <c r="C563" s="58" t="s">
        <v>962</v>
      </c>
      <c r="D563" s="55" t="s">
        <v>55</v>
      </c>
      <c r="E563" s="50" t="str">
        <f t="shared" si="16"/>
        <v>Шук Александр Игоревич;6-18ММ123/2019;827189;№6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Шук Александр Игоревич;6-18ММ123/2019;827189;№6</v>
      </c>
    </row>
    <row r="564" spans="1:8" ht="16.149999999999999" customHeight="1" x14ac:dyDescent="0.2">
      <c r="A564" s="72">
        <v>788211</v>
      </c>
      <c r="B564" s="73" t="s">
        <v>564</v>
      </c>
      <c r="C564" s="71" t="s">
        <v>565</v>
      </c>
      <c r="D564" s="73" t="s">
        <v>55</v>
      </c>
      <c r="E564" s="50" t="str">
        <f t="shared" si="16"/>
        <v>Шуленин Никита Михайлович;6-17Ю023 /2017;788211;№6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Шуленин Никита Михайлович;6-17Ю023 /2017;788211;№6</v>
      </c>
    </row>
    <row r="565" spans="1:8" ht="16.149999999999999" customHeight="1" x14ac:dyDescent="0.2">
      <c r="A565" s="72">
        <v>785118</v>
      </c>
      <c r="B565" s="73" t="s">
        <v>498</v>
      </c>
      <c r="C565" s="71" t="s">
        <v>499</v>
      </c>
      <c r="D565" s="73" t="s">
        <v>55</v>
      </c>
      <c r="E565" s="50" t="str">
        <f t="shared" si="16"/>
        <v>Шулепова Юлия Вячеславовна;6-17Р199 /2017;785118;№6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Шулепова Юлия Вячеславовна;6-17Р199 /2017;785118;№6</v>
      </c>
    </row>
    <row r="566" spans="1:8" ht="16.149999999999999" customHeight="1" x14ac:dyDescent="0.2">
      <c r="A566" s="72">
        <v>784888</v>
      </c>
      <c r="B566" s="73" t="s">
        <v>416</v>
      </c>
      <c r="C566" s="71" t="s">
        <v>417</v>
      </c>
      <c r="D566" s="73" t="s">
        <v>55</v>
      </c>
      <c r="E566" s="50" t="str">
        <f t="shared" si="16"/>
        <v>Щербак Владислав Андреевич;6-17Р099 /2017;784888;№6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Щербак Владислав Андреевич;6-17Р099 /2017;784888;№6</v>
      </c>
    </row>
    <row r="567" spans="1:8" ht="16.149999999999999" customHeight="1" x14ac:dyDescent="0.2">
      <c r="A567" s="55">
        <v>826374</v>
      </c>
      <c r="B567" s="55" t="s">
        <v>949</v>
      </c>
      <c r="C567" s="58" t="s">
        <v>950</v>
      </c>
      <c r="D567" s="55" t="s">
        <v>55</v>
      </c>
      <c r="E567" s="50" t="str">
        <f t="shared" si="16"/>
        <v>Щербаков Кирилл Сергеевич;6-15Р171/2019;826374;№6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Щербаков Кирилл Сергеевич;6-15Р171/2019;826374;№6</v>
      </c>
    </row>
    <row r="568" spans="1:8" ht="16.149999999999999" customHeight="1" x14ac:dyDescent="0.2">
      <c r="A568" s="72">
        <v>816781</v>
      </c>
      <c r="B568" s="73" t="s">
        <v>1095</v>
      </c>
      <c r="C568" s="71" t="s">
        <v>1096</v>
      </c>
      <c r="D568" s="73" t="s">
        <v>55</v>
      </c>
      <c r="E568" s="50" t="str">
        <f t="shared" si="16"/>
        <v>Юй Ин  ;6-16ИР10/2018;816781;№6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Юй Ин  ;6-16ИР10/2018;816781;№6</v>
      </c>
    </row>
    <row r="569" spans="1:8" ht="16.149999999999999" customHeight="1" x14ac:dyDescent="0.2">
      <c r="A569" s="55">
        <v>816840</v>
      </c>
      <c r="B569" s="55" t="s">
        <v>847</v>
      </c>
      <c r="C569" s="58" t="s">
        <v>848</v>
      </c>
      <c r="D569" s="55" t="s">
        <v>55</v>
      </c>
      <c r="E569" s="50" t="str">
        <f t="shared" si="16"/>
        <v>Юлдашбаев Роман Раилевич;6-15М714/2018;816840;№6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Юлдашбаев Роман Раилевич;6-15М714/2018;816840;№6</v>
      </c>
    </row>
    <row r="570" spans="1:8" ht="16.149999999999999" customHeight="1" x14ac:dyDescent="0.2">
      <c r="A570" s="72">
        <v>816783</v>
      </c>
      <c r="B570" s="73" t="s">
        <v>1097</v>
      </c>
      <c r="C570" s="71" t="s">
        <v>1098</v>
      </c>
      <c r="D570" s="73" t="s">
        <v>55</v>
      </c>
      <c r="E570" s="50" t="str">
        <f t="shared" si="16"/>
        <v>Юсупджанов Шухрат Ахмадович;6-15Р220/2018;816783;№6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Юсупджанов Шухрат Ахмадович;6-15Р220/2018;816783;№6</v>
      </c>
    </row>
    <row r="571" spans="1:8" ht="16.149999999999999" customHeight="1" x14ac:dyDescent="0.2">
      <c r="A571" s="72">
        <v>784889</v>
      </c>
      <c r="B571" s="73" t="s">
        <v>418</v>
      </c>
      <c r="C571" s="71" t="s">
        <v>419</v>
      </c>
      <c r="D571" s="73" t="s">
        <v>55</v>
      </c>
      <c r="E571" s="50" t="str">
        <f t="shared" si="16"/>
        <v>Яковлев Артемий Евгеньевич;6-17Р100 /2017;784889;№6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Яковлев Артемий Евгеньевич;6-17Р100 /2017;784889;№6</v>
      </c>
    </row>
    <row r="572" spans="1:8" ht="16.149999999999999" customHeight="1" x14ac:dyDescent="0.2">
      <c r="A572" s="55">
        <v>823248</v>
      </c>
      <c r="B572" s="55" t="s">
        <v>943</v>
      </c>
      <c r="C572" s="58" t="s">
        <v>944</v>
      </c>
      <c r="D572" s="55" t="s">
        <v>55</v>
      </c>
      <c r="E572" s="50" t="str">
        <f t="shared" si="16"/>
        <v>Яковлев Илья Алексеевич;6-17Р068/2018;823248;№6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Яковлев Илья Алексеевич;6-17Р068/2018;823248;№6</v>
      </c>
    </row>
    <row r="573" spans="1:8" ht="16.149999999999999" customHeight="1" x14ac:dyDescent="0.2">
      <c r="A573" s="72">
        <v>143122</v>
      </c>
      <c r="B573" s="73" t="s">
        <v>310</v>
      </c>
      <c r="C573" s="71" t="s">
        <v>311</v>
      </c>
      <c r="D573" s="73" t="s">
        <v>55</v>
      </c>
      <c r="E573" s="50" t="str">
        <f t="shared" si="16"/>
        <v>Янычев Алексей Сергеевич;6-16Р195 /2016;143122;№6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Янычев Алексей Сергеевич;6-16Р195 /2016;143122;№6</v>
      </c>
    </row>
    <row r="574" spans="1:8" ht="16.149999999999999" customHeight="1" x14ac:dyDescent="0.2">
      <c r="A574" s="72">
        <v>143121</v>
      </c>
      <c r="B574" s="73" t="s">
        <v>308</v>
      </c>
      <c r="C574" s="71" t="s">
        <v>309</v>
      </c>
      <c r="D574" s="73" t="s">
        <v>55</v>
      </c>
      <c r="E574" s="50" t="str">
        <f t="shared" si="16"/>
        <v>Яшин Иван Андреевич;6-16Р130 /2016;143121;№6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Яшин Иван Андреевич;6-16Р130 /2016;143121;№6</v>
      </c>
    </row>
    <row r="575" spans="1:8" ht="16.149999999999999" customHeight="1" x14ac:dyDescent="0.2">
      <c r="A575" s="72"/>
      <c r="B575" s="73" t="s">
        <v>1206</v>
      </c>
      <c r="C575" s="71" t="s">
        <v>1207</v>
      </c>
      <c r="D575" s="73" t="s">
        <v>55</v>
      </c>
      <c r="E575" s="50" t="str">
        <f t="shared" si="16"/>
        <v>Аликин Николай Анатольевич;6-19Р001/2019;;№6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Аликин Николай Анатольевич;6-19Р001/2019;;№6</v>
      </c>
    </row>
    <row r="576" spans="1:8" ht="16.149999999999999" customHeight="1" x14ac:dyDescent="0.2">
      <c r="A576" s="72"/>
      <c r="B576" s="73" t="s">
        <v>1208</v>
      </c>
      <c r="C576" s="71" t="s">
        <v>1209</v>
      </c>
      <c r="D576" s="73" t="s">
        <v>55</v>
      </c>
      <c r="E576" s="50" t="str">
        <f t="shared" si="16"/>
        <v>Алмаева Елена Алексеевна;6-19Р075/2019;;№6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Алмаева Елена Алексеевна;6-19Р075/2019;;№6</v>
      </c>
    </row>
    <row r="577" spans="1:8" ht="16.149999999999999" customHeight="1" x14ac:dyDescent="0.2">
      <c r="A577" s="72"/>
      <c r="B577" s="73" t="s">
        <v>1210</v>
      </c>
      <c r="C577" s="71" t="s">
        <v>1211</v>
      </c>
      <c r="D577" s="73" t="s">
        <v>55</v>
      </c>
      <c r="E577" s="50" t="str">
        <f t="shared" ref="E577:E640" si="18">LEFT(C577,IF(ISERROR(FIND(":",C577))=TRUE,LEN(C577),FIND(":",C577)-1)) &amp; ";" &amp; B577 &amp; ";" &amp; A577 &amp; ";" &amp;D577</f>
        <v>Астафьев Аким Григорьевич;6-19Р008/2019;;№6</v>
      </c>
      <c r="F577" s="50" t="b">
        <f t="shared" ref="F577:F640" si="1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Астафьев Аким Григорьевич;6-19Р008/2019;;№6</v>
      </c>
    </row>
    <row r="578" spans="1:8" ht="16.149999999999999" customHeight="1" x14ac:dyDescent="0.2">
      <c r="A578" s="72"/>
      <c r="B578" s="73" t="s">
        <v>1212</v>
      </c>
      <c r="C578" s="71" t="s">
        <v>1213</v>
      </c>
      <c r="D578" s="73" t="s">
        <v>55</v>
      </c>
      <c r="E578" s="50" t="str">
        <f t="shared" si="18"/>
        <v>Аюпова Ольга Сергеевна;6-19Р139/2019;;№6</v>
      </c>
      <c r="F578" s="50" t="b">
        <f t="shared" si="19"/>
        <v>1</v>
      </c>
      <c r="G578" s="50">
        <f>IF($F578,COUNTIF($F$1:$F578,TRUE),"")</f>
        <v>578</v>
      </c>
      <c r="H578" s="50" t="str">
        <f>IFERROR(INDEX(NameStudent,MATCH(ROWS($H$1:$H578),Index,0)),"")</f>
        <v>Аюпова Ольга Сергеевна;6-19Р139/2019;;№6</v>
      </c>
    </row>
    <row r="579" spans="1:8" ht="16.149999999999999" customHeight="1" x14ac:dyDescent="0.2">
      <c r="A579" s="72"/>
      <c r="B579" s="73" t="s">
        <v>1214</v>
      </c>
      <c r="C579" s="71" t="s">
        <v>1215</v>
      </c>
      <c r="D579" s="73" t="s">
        <v>55</v>
      </c>
      <c r="E579" s="50" t="str">
        <f t="shared" si="18"/>
        <v>Балашов Павел Олегович;6-19Р045/2019;;№6</v>
      </c>
      <c r="F579" s="50" t="b">
        <f t="shared" si="19"/>
        <v>1</v>
      </c>
      <c r="G579" s="50">
        <f>IF($F579,COUNTIF($F$1:$F579,TRUE),"")</f>
        <v>579</v>
      </c>
      <c r="H579" s="50" t="str">
        <f>IFERROR(INDEX(NameStudent,MATCH(ROWS($H$1:$H579),Index,0)),"")</f>
        <v>Балашов Павел Олегович;6-19Р045/2019;;№6</v>
      </c>
    </row>
    <row r="580" spans="1:8" ht="16.149999999999999" customHeight="1" x14ac:dyDescent="0.2">
      <c r="A580" s="72"/>
      <c r="B580" s="73" t="s">
        <v>1216</v>
      </c>
      <c r="C580" s="71" t="s">
        <v>1217</v>
      </c>
      <c r="D580" s="73" t="s">
        <v>55</v>
      </c>
      <c r="E580" s="50" t="str">
        <f t="shared" si="18"/>
        <v>Баранчиков Владислав Вячеславович;6-19Р076/2019;;№6</v>
      </c>
      <c r="F580" s="50" t="b">
        <f t="shared" si="19"/>
        <v>1</v>
      </c>
      <c r="G580" s="50">
        <f>IF($F580,COUNTIF($F$1:$F580,TRUE),"")</f>
        <v>580</v>
      </c>
      <c r="H580" s="50" t="str">
        <f>IFERROR(INDEX(NameStudent,MATCH(ROWS($H$1:$H580),Index,0)),"")</f>
        <v>Баранчиков Владислав Вячеславович;6-19Р076/2019;;№6</v>
      </c>
    </row>
    <row r="581" spans="1:8" ht="16.149999999999999" customHeight="1" x14ac:dyDescent="0.2">
      <c r="A581" s="72"/>
      <c r="B581" s="73" t="s">
        <v>1218</v>
      </c>
      <c r="C581" s="71" t="s">
        <v>1219</v>
      </c>
      <c r="D581" s="73" t="s">
        <v>55</v>
      </c>
      <c r="E581" s="50" t="str">
        <f t="shared" si="18"/>
        <v>Беззубиков Валерий ;6-19Р052/2019;;№6</v>
      </c>
      <c r="F581" s="50" t="b">
        <f t="shared" si="19"/>
        <v>1</v>
      </c>
      <c r="G581" s="50">
        <f>IF($F581,COUNTIF($F$1:$F581,TRUE),"")</f>
        <v>581</v>
      </c>
      <c r="H581" s="50" t="str">
        <f>IFERROR(INDEX(NameStudent,MATCH(ROWS($H$1:$H581),Index,0)),"")</f>
        <v>Беззубиков Валерий ;6-19Р052/2019;;№6</v>
      </c>
    </row>
    <row r="582" spans="1:8" ht="16.149999999999999" customHeight="1" x14ac:dyDescent="0.2">
      <c r="A582" s="72"/>
      <c r="B582" s="73" t="s">
        <v>1220</v>
      </c>
      <c r="C582" s="71" t="s">
        <v>1221</v>
      </c>
      <c r="D582" s="73" t="s">
        <v>55</v>
      </c>
      <c r="E582" s="50" t="str">
        <f t="shared" si="18"/>
        <v>Беляев Валерий Алексеевич;6-19Р015/2019;;№6</v>
      </c>
      <c r="F582" s="50" t="b">
        <f t="shared" si="19"/>
        <v>1</v>
      </c>
      <c r="G582" s="50">
        <f>IF($F582,COUNTIF($F$1:$F582,TRUE),"")</f>
        <v>582</v>
      </c>
      <c r="H582" s="50" t="str">
        <f>IFERROR(INDEX(NameStudent,MATCH(ROWS($H$1:$H582),Index,0)),"")</f>
        <v>Беляев Валерий Алексеевич;6-19Р015/2019;;№6</v>
      </c>
    </row>
    <row r="583" spans="1:8" ht="16.149999999999999" customHeight="1" x14ac:dyDescent="0.2">
      <c r="A583" s="72"/>
      <c r="B583" s="73" t="s">
        <v>1222</v>
      </c>
      <c r="C583" s="71" t="s">
        <v>1223</v>
      </c>
      <c r="D583" s="73" t="s">
        <v>55</v>
      </c>
      <c r="E583" s="50" t="str">
        <f t="shared" si="18"/>
        <v>Бетуганов Юрий Антемырканович;6-19Р077/2019;;№6</v>
      </c>
      <c r="F583" s="50" t="b">
        <f t="shared" si="19"/>
        <v>1</v>
      </c>
      <c r="G583" s="50">
        <f>IF($F583,COUNTIF($F$1:$F583,TRUE),"")</f>
        <v>583</v>
      </c>
      <c r="H583" s="50" t="str">
        <f>IFERROR(INDEX(NameStudent,MATCH(ROWS($H$1:$H583),Index,0)),"")</f>
        <v>Бетуганов Юрий Антемырканович;6-19Р077/2019;;№6</v>
      </c>
    </row>
    <row r="584" spans="1:8" ht="16.149999999999999" customHeight="1" x14ac:dyDescent="0.2">
      <c r="A584" s="72"/>
      <c r="B584" s="73" t="s">
        <v>1224</v>
      </c>
      <c r="C584" s="71" t="s">
        <v>1225</v>
      </c>
      <c r="D584" s="73" t="s">
        <v>55</v>
      </c>
      <c r="E584" s="50" t="str">
        <f t="shared" si="18"/>
        <v>Боженко Дмитрий Владимирович;6-19Р106/2019;;№6</v>
      </c>
      <c r="F584" s="50" t="b">
        <f t="shared" si="19"/>
        <v>1</v>
      </c>
      <c r="G584" s="50">
        <f>IF($F584,COUNTIF($F$1:$F584,TRUE),"")</f>
        <v>584</v>
      </c>
      <c r="H584" s="50" t="str">
        <f>IFERROR(INDEX(NameStudent,MATCH(ROWS($H$1:$H584),Index,0)),"")</f>
        <v>Боженко Дмитрий Владимирович;6-19Р106/2019;;№6</v>
      </c>
    </row>
    <row r="585" spans="1:8" ht="16.149999999999999" customHeight="1" x14ac:dyDescent="0.2">
      <c r="A585" s="72"/>
      <c r="B585" s="73" t="s">
        <v>1226</v>
      </c>
      <c r="C585" s="71" t="s">
        <v>1227</v>
      </c>
      <c r="D585" s="73" t="s">
        <v>55</v>
      </c>
      <c r="E585" s="50" t="str">
        <f t="shared" si="18"/>
        <v>Бормотов Андрей Константинович;6-19Р078/2019;;№6</v>
      </c>
      <c r="F585" s="50" t="b">
        <f t="shared" si="19"/>
        <v>1</v>
      </c>
      <c r="G585" s="50">
        <f>IF($F585,COUNTIF($F$1:$F585,TRUE),"")</f>
        <v>585</v>
      </c>
      <c r="H585" s="50" t="str">
        <f>IFERROR(INDEX(NameStudent,MATCH(ROWS($H$1:$H585),Index,0)),"")</f>
        <v>Бормотов Андрей Константинович;6-19Р078/2019;;№6</v>
      </c>
    </row>
    <row r="586" spans="1:8" ht="16.149999999999999" customHeight="1" x14ac:dyDescent="0.2">
      <c r="A586" s="72"/>
      <c r="B586" s="73" t="s">
        <v>1228</v>
      </c>
      <c r="C586" s="71" t="s">
        <v>1229</v>
      </c>
      <c r="D586" s="73" t="s">
        <v>55</v>
      </c>
      <c r="E586" s="50" t="str">
        <f t="shared" si="18"/>
        <v>Бражникова Надежда Антоновна;6-19Р108/2019;;№6</v>
      </c>
      <c r="F586" s="50" t="b">
        <f t="shared" si="19"/>
        <v>1</v>
      </c>
      <c r="G586" s="50">
        <f>IF($F586,COUNTIF($F$1:$F586,TRUE),"")</f>
        <v>586</v>
      </c>
      <c r="H586" s="50" t="str">
        <f>IFERROR(INDEX(NameStudent,MATCH(ROWS($H$1:$H586),Index,0)),"")</f>
        <v>Бражникова Надежда Антоновна;6-19Р108/2019;;№6</v>
      </c>
    </row>
    <row r="587" spans="1:8" ht="16.149999999999999" customHeight="1" x14ac:dyDescent="0.2">
      <c r="A587" s="72"/>
      <c r="B587" s="73" t="s">
        <v>1230</v>
      </c>
      <c r="C587" s="71" t="s">
        <v>1231</v>
      </c>
      <c r="D587" s="73" t="s">
        <v>55</v>
      </c>
      <c r="E587" s="50" t="str">
        <f t="shared" si="18"/>
        <v>Бурцев Егор Сергеевич;6-19Р150/2019;;№6</v>
      </c>
      <c r="F587" s="50" t="b">
        <f t="shared" si="19"/>
        <v>1</v>
      </c>
      <c r="G587" s="50">
        <f>IF($F587,COUNTIF($F$1:$F587,TRUE),"")</f>
        <v>587</v>
      </c>
      <c r="H587" s="50" t="str">
        <f>IFERROR(INDEX(NameStudent,MATCH(ROWS($H$1:$H587),Index,0)),"")</f>
        <v>Бурцев Егор Сергеевич;6-19Р150/2019;;№6</v>
      </c>
    </row>
    <row r="588" spans="1:8" ht="16.149999999999999" customHeight="1" x14ac:dyDescent="0.2">
      <c r="A588" s="72"/>
      <c r="B588" s="73" t="s">
        <v>1232</v>
      </c>
      <c r="C588" s="71" t="s">
        <v>1233</v>
      </c>
      <c r="D588" s="73" t="s">
        <v>55</v>
      </c>
      <c r="E588" s="50" t="str">
        <f t="shared" si="18"/>
        <v>Галлямова Диана Маратовна;6-19Р080/2019;;№6</v>
      </c>
      <c r="F588" s="50" t="b">
        <f t="shared" si="19"/>
        <v>1</v>
      </c>
      <c r="G588" s="50">
        <f>IF($F588,COUNTIF($F$1:$F588,TRUE),"")</f>
        <v>588</v>
      </c>
      <c r="H588" s="50" t="str">
        <f>IFERROR(INDEX(NameStudent,MATCH(ROWS($H$1:$H588),Index,0)),"")</f>
        <v>Галлямова Диана Маратовна;6-19Р080/2019;;№6</v>
      </c>
    </row>
    <row r="589" spans="1:8" ht="16.149999999999999" customHeight="1" x14ac:dyDescent="0.2">
      <c r="A589" s="72"/>
      <c r="B589" s="73" t="s">
        <v>1234</v>
      </c>
      <c r="C589" s="71" t="s">
        <v>1235</v>
      </c>
      <c r="D589" s="73" t="s">
        <v>55</v>
      </c>
      <c r="E589" s="50" t="str">
        <f t="shared" si="18"/>
        <v>Гафаров Булат Рустемович;6-19Р081/2019;;№6</v>
      </c>
      <c r="F589" s="50" t="b">
        <f t="shared" si="19"/>
        <v>1</v>
      </c>
      <c r="G589" s="50">
        <f>IF($F589,COUNTIF($F$1:$F589,TRUE),"")</f>
        <v>589</v>
      </c>
      <c r="H589" s="50" t="str">
        <f>IFERROR(INDEX(NameStudent,MATCH(ROWS($H$1:$H589),Index,0)),"")</f>
        <v>Гафаров Булат Рустемович;6-19Р081/2019;;№6</v>
      </c>
    </row>
    <row r="590" spans="1:8" ht="16.149999999999999" customHeight="1" x14ac:dyDescent="0.2">
      <c r="A590" s="72"/>
      <c r="B590" s="73" t="s">
        <v>1236</v>
      </c>
      <c r="C590" s="71" t="s">
        <v>1237</v>
      </c>
      <c r="D590" s="73" t="s">
        <v>55</v>
      </c>
      <c r="E590" s="50" t="str">
        <f t="shared" si="18"/>
        <v>Гнилицкий Денис Васильевич;6-19Р082/2019;;№6</v>
      </c>
      <c r="F590" s="50" t="b">
        <f t="shared" si="19"/>
        <v>1</v>
      </c>
      <c r="G590" s="50">
        <f>IF($F590,COUNTIF($F$1:$F590,TRUE),"")</f>
        <v>590</v>
      </c>
      <c r="H590" s="50" t="str">
        <f>IFERROR(INDEX(NameStudent,MATCH(ROWS($H$1:$H590),Index,0)),"")</f>
        <v>Гнилицкий Денис Васильевич;6-19Р082/2019;;№6</v>
      </c>
    </row>
    <row r="591" spans="1:8" ht="16.149999999999999" customHeight="1" x14ac:dyDescent="0.2">
      <c r="A591" s="72"/>
      <c r="B591" s="73" t="s">
        <v>1238</v>
      </c>
      <c r="C591" s="71" t="s">
        <v>1239</v>
      </c>
      <c r="D591" s="73" t="s">
        <v>55</v>
      </c>
      <c r="E591" s="50" t="str">
        <f t="shared" si="18"/>
        <v>Головнов Антон Максимович;6-19Р026/2019;;№6</v>
      </c>
      <c r="F591" s="50" t="b">
        <f t="shared" si="19"/>
        <v>1</v>
      </c>
      <c r="G591" s="50">
        <f>IF($F591,COUNTIF($F$1:$F591,TRUE),"")</f>
        <v>591</v>
      </c>
      <c r="H591" s="50" t="str">
        <f>IFERROR(INDEX(NameStudent,MATCH(ROWS($H$1:$H591),Index,0)),"")</f>
        <v>Головнов Антон Максимович;6-19Р026/2019;;№6</v>
      </c>
    </row>
    <row r="592" spans="1:8" ht="16.149999999999999" customHeight="1" x14ac:dyDescent="0.2">
      <c r="A592" s="72"/>
      <c r="B592" s="73" t="s">
        <v>1240</v>
      </c>
      <c r="C592" s="71" t="s">
        <v>1241</v>
      </c>
      <c r="D592" s="73" t="s">
        <v>55</v>
      </c>
      <c r="E592" s="50" t="str">
        <f t="shared" si="18"/>
        <v>Горшихин Николай Сергеевич;6-19Р040/2019;;№6</v>
      </c>
      <c r="F592" s="50" t="b">
        <f t="shared" si="19"/>
        <v>1</v>
      </c>
      <c r="G592" s="50">
        <f>IF($F592,COUNTIF($F$1:$F592,TRUE),"")</f>
        <v>592</v>
      </c>
      <c r="H592" s="50" t="str">
        <f>IFERROR(INDEX(NameStudent,MATCH(ROWS($H$1:$H592),Index,0)),"")</f>
        <v>Горшихин Николай Сергеевич;6-19Р040/2019;;№6</v>
      </c>
    </row>
    <row r="593" spans="1:8" ht="16.149999999999999" customHeight="1" x14ac:dyDescent="0.2">
      <c r="A593" s="72"/>
      <c r="B593" s="73" t="s">
        <v>1242</v>
      </c>
      <c r="C593" s="71" t="s">
        <v>1243</v>
      </c>
      <c r="D593" s="73" t="s">
        <v>55</v>
      </c>
      <c r="E593" s="50" t="str">
        <f t="shared" si="18"/>
        <v>Готовцев Артём Евгеньевич;6-19Р109/2019;;№6</v>
      </c>
      <c r="F593" s="50" t="b">
        <f t="shared" si="19"/>
        <v>1</v>
      </c>
      <c r="G593" s="50">
        <f>IF($F593,COUNTIF($F$1:$F593,TRUE),"")</f>
        <v>593</v>
      </c>
      <c r="H593" s="50" t="str">
        <f>IFERROR(INDEX(NameStudent,MATCH(ROWS($H$1:$H593),Index,0)),"")</f>
        <v>Готовцев Артём Евгеньевич;6-19Р109/2019;;№6</v>
      </c>
    </row>
    <row r="594" spans="1:8" ht="16.149999999999999" customHeight="1" x14ac:dyDescent="0.2">
      <c r="A594" s="72"/>
      <c r="B594" s="73" t="s">
        <v>1244</v>
      </c>
      <c r="C594" s="71" t="s">
        <v>1245</v>
      </c>
      <c r="D594" s="73" t="s">
        <v>55</v>
      </c>
      <c r="E594" s="50" t="str">
        <f t="shared" si="18"/>
        <v>Долгачев Даниил Владимирович;6-19Р083/2019;;№6</v>
      </c>
      <c r="F594" s="50" t="b">
        <f t="shared" si="19"/>
        <v>1</v>
      </c>
      <c r="G594" s="50">
        <f>IF($F594,COUNTIF($F$1:$F594,TRUE),"")</f>
        <v>594</v>
      </c>
      <c r="H594" s="50" t="str">
        <f>IFERROR(INDEX(NameStudent,MATCH(ROWS($H$1:$H594),Index,0)),"")</f>
        <v>Долгачев Даниил Владимирович;6-19Р083/2019;;№6</v>
      </c>
    </row>
    <row r="595" spans="1:8" ht="16.149999999999999" customHeight="1" x14ac:dyDescent="0.2">
      <c r="A595" s="72"/>
      <c r="B595" s="73" t="s">
        <v>1246</v>
      </c>
      <c r="C595" s="71" t="s">
        <v>1247</v>
      </c>
      <c r="D595" s="73" t="s">
        <v>55</v>
      </c>
      <c r="E595" s="50" t="str">
        <f t="shared" si="18"/>
        <v>Домнина Ольга Александровна;6-19Р043/2019;;№6</v>
      </c>
      <c r="F595" s="50" t="b">
        <f t="shared" si="19"/>
        <v>1</v>
      </c>
      <c r="G595" s="50">
        <f>IF($F595,COUNTIF($F$1:$F595,TRUE),"")</f>
        <v>595</v>
      </c>
      <c r="H595" s="50" t="str">
        <f>IFERROR(INDEX(NameStudent,MATCH(ROWS($H$1:$H595),Index,0)),"")</f>
        <v>Домнина Ольга Александровна;6-19Р043/2019;;№6</v>
      </c>
    </row>
    <row r="596" spans="1:8" ht="16.149999999999999" customHeight="1" x14ac:dyDescent="0.2">
      <c r="A596" s="72"/>
      <c r="B596" s="73" t="s">
        <v>1248</v>
      </c>
      <c r="C596" s="71" t="s">
        <v>1249</v>
      </c>
      <c r="D596" s="73" t="s">
        <v>55</v>
      </c>
      <c r="E596" s="50" t="str">
        <f t="shared" si="18"/>
        <v>Дорофеев Александр Николаевич;6-19Р084/2019;;№6</v>
      </c>
      <c r="F596" s="50" t="b">
        <f t="shared" si="19"/>
        <v>1</v>
      </c>
      <c r="G596" s="50">
        <f>IF($F596,COUNTIF($F$1:$F596,TRUE),"")</f>
        <v>596</v>
      </c>
      <c r="H596" s="50" t="str">
        <f>IFERROR(INDEX(NameStudent,MATCH(ROWS($H$1:$H596),Index,0)),"")</f>
        <v>Дорофеев Александр Николаевич;6-19Р084/2019;;№6</v>
      </c>
    </row>
    <row r="597" spans="1:8" ht="16.149999999999999" customHeight="1" x14ac:dyDescent="0.2">
      <c r="A597" s="72"/>
      <c r="B597" s="73" t="s">
        <v>1250</v>
      </c>
      <c r="C597" s="71" t="s">
        <v>1251</v>
      </c>
      <c r="D597" s="73" t="s">
        <v>55</v>
      </c>
      <c r="E597" s="50" t="str">
        <f t="shared" si="18"/>
        <v>Егоров Алексей Сергеевич;6-19Р156/2019;;№6</v>
      </c>
      <c r="F597" s="50" t="b">
        <f t="shared" si="19"/>
        <v>1</v>
      </c>
      <c r="G597" s="50">
        <f>IF($F597,COUNTIF($F$1:$F597,TRUE),"")</f>
        <v>597</v>
      </c>
      <c r="H597" s="50" t="str">
        <f>IFERROR(INDEX(NameStudent,MATCH(ROWS($H$1:$H597),Index,0)),"")</f>
        <v>Егоров Алексей Сергеевич;6-19Р156/2019;;№6</v>
      </c>
    </row>
    <row r="598" spans="1:8" ht="16.149999999999999" customHeight="1" x14ac:dyDescent="0.2">
      <c r="A598" s="72"/>
      <c r="B598" s="73" t="s">
        <v>1252</v>
      </c>
      <c r="C598" s="71" t="s">
        <v>1253</v>
      </c>
      <c r="D598" s="73" t="s">
        <v>55</v>
      </c>
      <c r="E598" s="50" t="str">
        <f t="shared" si="18"/>
        <v>Емельянов Денис Павлович;6-19Р140/2019;;№6</v>
      </c>
      <c r="F598" s="50" t="b">
        <f t="shared" si="19"/>
        <v>1</v>
      </c>
      <c r="G598" s="50">
        <f>IF($F598,COUNTIF($F$1:$F598,TRUE),"")</f>
        <v>598</v>
      </c>
      <c r="H598" s="50" t="str">
        <f>IFERROR(INDEX(NameStudent,MATCH(ROWS($H$1:$H598),Index,0)),"")</f>
        <v>Емельянов Денис Павлович;6-19Р140/2019;;№6</v>
      </c>
    </row>
    <row r="599" spans="1:8" ht="16.149999999999999" customHeight="1" x14ac:dyDescent="0.2">
      <c r="A599" s="72"/>
      <c r="B599" s="73" t="s">
        <v>1254</v>
      </c>
      <c r="C599" s="71" t="s">
        <v>1255</v>
      </c>
      <c r="D599" s="73" t="s">
        <v>55</v>
      </c>
      <c r="E599" s="50" t="str">
        <f t="shared" si="18"/>
        <v>Емкужев Анзор Мухадинович;6-19Р085/2019;;№6</v>
      </c>
      <c r="F599" s="50" t="b">
        <f t="shared" si="19"/>
        <v>1</v>
      </c>
      <c r="G599" s="50">
        <f>IF($F599,COUNTIF($F$1:$F599,TRUE),"")</f>
        <v>599</v>
      </c>
      <c r="H599" s="50" t="str">
        <f>IFERROR(INDEX(NameStudent,MATCH(ROWS($H$1:$H599),Index,0)),"")</f>
        <v>Емкужев Анзор Мухадинович;6-19Р085/2019;;№6</v>
      </c>
    </row>
    <row r="600" spans="1:8" ht="16.149999999999999" customHeight="1" x14ac:dyDescent="0.2">
      <c r="A600" s="72"/>
      <c r="B600" s="73" t="s">
        <v>1256</v>
      </c>
      <c r="C600" s="71" t="s">
        <v>1257</v>
      </c>
      <c r="D600" s="73" t="s">
        <v>55</v>
      </c>
      <c r="E600" s="50" t="str">
        <f t="shared" si="18"/>
        <v>Жаренков Никита Андреевич;6-19Р086/2019;;№6</v>
      </c>
      <c r="F600" s="50" t="b">
        <f t="shared" si="19"/>
        <v>1</v>
      </c>
      <c r="G600" s="50">
        <f>IF($F600,COUNTIF($F$1:$F600,TRUE),"")</f>
        <v>600</v>
      </c>
      <c r="H600" s="50" t="str">
        <f>IFERROR(INDEX(NameStudent,MATCH(ROWS($H$1:$H600),Index,0)),"")</f>
        <v>Жаренков Никита Андреевич;6-19Р086/2019;;№6</v>
      </c>
    </row>
    <row r="601" spans="1:8" ht="16.149999999999999" customHeight="1" x14ac:dyDescent="0.2">
      <c r="A601" s="72"/>
      <c r="B601" s="73" t="s">
        <v>1258</v>
      </c>
      <c r="C601" s="71" t="s">
        <v>1259</v>
      </c>
      <c r="D601" s="73" t="s">
        <v>55</v>
      </c>
      <c r="E601" s="50" t="str">
        <f t="shared" si="18"/>
        <v>Журавлев Николай Вадимович;6-19Р011/2019;;№6</v>
      </c>
      <c r="F601" s="50" t="b">
        <f t="shared" si="19"/>
        <v>1</v>
      </c>
      <c r="G601" s="50">
        <f>IF($F601,COUNTIF($F$1:$F601,TRUE),"")</f>
        <v>601</v>
      </c>
      <c r="H601" s="50" t="str">
        <f>IFERROR(INDEX(NameStudent,MATCH(ROWS($H$1:$H601),Index,0)),"")</f>
        <v>Журавлев Николай Вадимович;6-19Р011/2019;;№6</v>
      </c>
    </row>
    <row r="602" spans="1:8" ht="16.149999999999999" customHeight="1" x14ac:dyDescent="0.2">
      <c r="A602" s="72"/>
      <c r="B602" s="73" t="s">
        <v>1260</v>
      </c>
      <c r="C602" s="71" t="s">
        <v>1261</v>
      </c>
      <c r="D602" s="73" t="s">
        <v>55</v>
      </c>
      <c r="E602" s="50" t="str">
        <f t="shared" si="18"/>
        <v>Зайковская Анастасия Владимировна;6-19Р112/2019;;№6</v>
      </c>
      <c r="F602" s="50" t="b">
        <f t="shared" si="19"/>
        <v>1</v>
      </c>
      <c r="G602" s="50">
        <f>IF($F602,COUNTIF($F$1:$F602,TRUE),"")</f>
        <v>602</v>
      </c>
      <c r="H602" s="50" t="str">
        <f>IFERROR(INDEX(NameStudent,MATCH(ROWS($H$1:$H602),Index,0)),"")</f>
        <v>Зайковская Анастасия Владимировна;6-19Р112/2019;;№6</v>
      </c>
    </row>
    <row r="603" spans="1:8" ht="16.149999999999999" customHeight="1" x14ac:dyDescent="0.2">
      <c r="A603" s="72"/>
      <c r="B603" s="73" t="s">
        <v>1262</v>
      </c>
      <c r="C603" s="71" t="s">
        <v>1263</v>
      </c>
      <c r="D603" s="73" t="s">
        <v>55</v>
      </c>
      <c r="E603" s="50" t="str">
        <f t="shared" si="18"/>
        <v>Закунов Андрей Андреевич;6-19Р046/2019;;№6</v>
      </c>
      <c r="F603" s="50" t="b">
        <f t="shared" si="19"/>
        <v>1</v>
      </c>
      <c r="G603" s="50">
        <f>IF($F603,COUNTIF($F$1:$F603,TRUE),"")</f>
        <v>603</v>
      </c>
      <c r="H603" s="50" t="str">
        <f>IFERROR(INDEX(NameStudent,MATCH(ROWS($H$1:$H603),Index,0)),"")</f>
        <v>Закунов Андрей Андреевич;6-19Р046/2019;;№6</v>
      </c>
    </row>
    <row r="604" spans="1:8" ht="16.149999999999999" customHeight="1" x14ac:dyDescent="0.2">
      <c r="A604" s="72"/>
      <c r="B604" s="73" t="s">
        <v>1264</v>
      </c>
      <c r="C604" s="71" t="s">
        <v>1265</v>
      </c>
      <c r="D604" s="73" t="s">
        <v>55</v>
      </c>
      <c r="E604" s="50" t="str">
        <f t="shared" si="18"/>
        <v>Запсельский Виктор Николаевич;6-19Р047/2019;;№6</v>
      </c>
      <c r="F604" s="50" t="b">
        <f t="shared" si="19"/>
        <v>1</v>
      </c>
      <c r="G604" s="50">
        <f>IF($F604,COUNTIF($F$1:$F604,TRUE),"")</f>
        <v>604</v>
      </c>
      <c r="H604" s="50" t="str">
        <f>IFERROR(INDEX(NameStudent,MATCH(ROWS($H$1:$H604),Index,0)),"")</f>
        <v>Запсельский Виктор Николаевич;6-19Р047/2019;;№6</v>
      </c>
    </row>
    <row r="605" spans="1:8" ht="16.149999999999999" customHeight="1" x14ac:dyDescent="0.2">
      <c r="A605" s="72"/>
      <c r="B605" s="73" t="s">
        <v>1266</v>
      </c>
      <c r="C605" s="71" t="s">
        <v>1267</v>
      </c>
      <c r="D605" s="73" t="s">
        <v>55</v>
      </c>
      <c r="E605" s="50" t="str">
        <f t="shared" si="18"/>
        <v>Захарченко Семен Вадимович;6-19Р113/2019;;№6</v>
      </c>
      <c r="F605" s="50" t="b">
        <f t="shared" si="19"/>
        <v>1</v>
      </c>
      <c r="G605" s="50">
        <f>IF($F605,COUNTIF($F$1:$F605,TRUE),"")</f>
        <v>605</v>
      </c>
      <c r="H605" s="50" t="str">
        <f>IFERROR(INDEX(NameStudent,MATCH(ROWS($H$1:$H605),Index,0)),"")</f>
        <v>Захарченко Семен Вадимович;6-19Р113/2019;;№6</v>
      </c>
    </row>
    <row r="606" spans="1:8" ht="16.149999999999999" customHeight="1" x14ac:dyDescent="0.2">
      <c r="A606" s="72"/>
      <c r="B606" s="73" t="s">
        <v>1268</v>
      </c>
      <c r="C606" s="71" t="s">
        <v>1269</v>
      </c>
      <c r="D606" s="73" t="s">
        <v>55</v>
      </c>
      <c r="E606" s="50" t="str">
        <f t="shared" si="18"/>
        <v>Золин Александр Олегович;6-19Р088/2019;;№6</v>
      </c>
      <c r="F606" s="50" t="b">
        <f t="shared" si="19"/>
        <v>1</v>
      </c>
      <c r="G606" s="50">
        <f>IF($F606,COUNTIF($F$1:$F606,TRUE),"")</f>
        <v>606</v>
      </c>
      <c r="H606" s="50" t="str">
        <f>IFERROR(INDEX(NameStudent,MATCH(ROWS($H$1:$H606),Index,0)),"")</f>
        <v>Золин Александр Олегович;6-19Р088/2019;;№6</v>
      </c>
    </row>
    <row r="607" spans="1:8" ht="16.149999999999999" customHeight="1" x14ac:dyDescent="0.2">
      <c r="A607" s="72"/>
      <c r="B607" s="73" t="s">
        <v>1270</v>
      </c>
      <c r="C607" s="71" t="s">
        <v>1271</v>
      </c>
      <c r="D607" s="73" t="s">
        <v>55</v>
      </c>
      <c r="E607" s="50" t="str">
        <f t="shared" si="18"/>
        <v>Зотов Даниил Александрович;6-19Р114/2019;;№6</v>
      </c>
      <c r="F607" s="50" t="b">
        <f t="shared" si="19"/>
        <v>1</v>
      </c>
      <c r="G607" s="50">
        <f>IF($F607,COUNTIF($F$1:$F607,TRUE),"")</f>
        <v>607</v>
      </c>
      <c r="H607" s="50" t="str">
        <f>IFERROR(INDEX(NameStudent,MATCH(ROWS($H$1:$H607),Index,0)),"")</f>
        <v>Зотов Даниил Александрович;6-19Р114/2019;;№6</v>
      </c>
    </row>
    <row r="608" spans="1:8" ht="16.149999999999999" customHeight="1" x14ac:dyDescent="0.2">
      <c r="A608" s="72"/>
      <c r="B608" s="73" t="s">
        <v>1272</v>
      </c>
      <c r="C608" s="71" t="s">
        <v>1273</v>
      </c>
      <c r="D608" s="73" t="s">
        <v>55</v>
      </c>
      <c r="E608" s="50" t="str">
        <f t="shared" si="18"/>
        <v>Казанцев Алексей Игоревич;6-19Р048/2019;;№6</v>
      </c>
      <c r="F608" s="50" t="b">
        <f t="shared" si="19"/>
        <v>1</v>
      </c>
      <c r="G608" s="50">
        <f>IF($F608,COUNTIF($F$1:$F608,TRUE),"")</f>
        <v>608</v>
      </c>
      <c r="H608" s="50" t="str">
        <f>IFERROR(INDEX(NameStudent,MATCH(ROWS($H$1:$H608),Index,0)),"")</f>
        <v>Казанцев Алексей Игоревич;6-19Р048/2019;;№6</v>
      </c>
    </row>
    <row r="609" spans="1:8" ht="16.149999999999999" customHeight="1" x14ac:dyDescent="0.2">
      <c r="A609" s="72"/>
      <c r="B609" s="73" t="s">
        <v>1274</v>
      </c>
      <c r="C609" s="71" t="s">
        <v>1275</v>
      </c>
      <c r="D609" s="73" t="s">
        <v>55</v>
      </c>
      <c r="E609" s="50" t="str">
        <f t="shared" si="18"/>
        <v>Калинин Александр Васильевич;6-19Р090/2019;;№6</v>
      </c>
      <c r="F609" s="50" t="b">
        <f t="shared" si="19"/>
        <v>1</v>
      </c>
      <c r="G609" s="50">
        <f>IF($F609,COUNTIF($F$1:$F609,TRUE),"")</f>
        <v>609</v>
      </c>
      <c r="H609" s="50" t="str">
        <f>IFERROR(INDEX(NameStudent,MATCH(ROWS($H$1:$H609),Index,0)),"")</f>
        <v>Калинин Александр Васильевич;6-19Р090/2019;;№6</v>
      </c>
    </row>
    <row r="610" spans="1:8" ht="16.149999999999999" customHeight="1" x14ac:dyDescent="0.2">
      <c r="A610" s="72"/>
      <c r="B610" s="73" t="s">
        <v>1276</v>
      </c>
      <c r="C610" s="71" t="s">
        <v>1277</v>
      </c>
      <c r="D610" s="73" t="s">
        <v>55</v>
      </c>
      <c r="E610" s="50" t="str">
        <f t="shared" si="18"/>
        <v>Калистратова Александра Романовна;6-19Р002/2019;;№6</v>
      </c>
      <c r="F610" s="50" t="b">
        <f t="shared" si="19"/>
        <v>1</v>
      </c>
      <c r="G610" s="50">
        <f>IF($F610,COUNTIF($F$1:$F610,TRUE),"")</f>
        <v>610</v>
      </c>
      <c r="H610" s="50" t="str">
        <f>IFERROR(INDEX(NameStudent,MATCH(ROWS($H$1:$H610),Index,0)),"")</f>
        <v>Калистратова Александра Романовна;6-19Р002/2019;;№6</v>
      </c>
    </row>
    <row r="611" spans="1:8" ht="16.149999999999999" customHeight="1" x14ac:dyDescent="0.2">
      <c r="A611" s="72"/>
      <c r="B611" s="73" t="s">
        <v>1278</v>
      </c>
      <c r="C611" s="71" t="s">
        <v>1279</v>
      </c>
      <c r="D611" s="73" t="s">
        <v>55</v>
      </c>
      <c r="E611" s="50" t="str">
        <f t="shared" si="18"/>
        <v>Каримова София Фархадовна;6-19Р049/2019;;№6</v>
      </c>
      <c r="F611" s="50" t="b">
        <f t="shared" si="19"/>
        <v>1</v>
      </c>
      <c r="G611" s="50">
        <f>IF($F611,COUNTIF($F$1:$F611,TRUE),"")</f>
        <v>611</v>
      </c>
      <c r="H611" s="50" t="str">
        <f>IFERROR(INDEX(NameStudent,MATCH(ROWS($H$1:$H611),Index,0)),"")</f>
        <v>Каримова София Фархадовна;6-19Р049/2019;;№6</v>
      </c>
    </row>
    <row r="612" spans="1:8" ht="16.149999999999999" customHeight="1" x14ac:dyDescent="0.2">
      <c r="A612" s="72"/>
      <c r="B612" s="73" t="s">
        <v>1280</v>
      </c>
      <c r="C612" s="71" t="s">
        <v>1281</v>
      </c>
      <c r="D612" s="73" t="s">
        <v>55</v>
      </c>
      <c r="E612" s="50" t="str">
        <f t="shared" si="18"/>
        <v>Киселев Сергей Борисович;6-19Р050/2019;;№6</v>
      </c>
      <c r="F612" s="50" t="b">
        <f t="shared" si="19"/>
        <v>1</v>
      </c>
      <c r="G612" s="50">
        <f>IF($F612,COUNTIF($F$1:$F612,TRUE),"")</f>
        <v>612</v>
      </c>
      <c r="H612" s="50" t="str">
        <f>IFERROR(INDEX(NameStudent,MATCH(ROWS($H$1:$H612),Index,0)),"")</f>
        <v>Киселев Сергей Борисович;6-19Р050/2019;;№6</v>
      </c>
    </row>
    <row r="613" spans="1:8" ht="16.149999999999999" customHeight="1" x14ac:dyDescent="0.2">
      <c r="A613" s="72"/>
      <c r="B613" s="73" t="s">
        <v>1282</v>
      </c>
      <c r="C613" s="71" t="s">
        <v>1283</v>
      </c>
      <c r="D613" s="73" t="s">
        <v>55</v>
      </c>
      <c r="E613" s="50" t="str">
        <f t="shared" si="18"/>
        <v>Клочкова Алина Евгеньевна;6-19Р141/2019;;№6</v>
      </c>
      <c r="F613" s="50" t="b">
        <f t="shared" si="19"/>
        <v>1</v>
      </c>
      <c r="G613" s="50">
        <f>IF($F613,COUNTIF($F$1:$F613,TRUE),"")</f>
        <v>613</v>
      </c>
      <c r="H613" s="50" t="str">
        <f>IFERROR(INDEX(NameStudent,MATCH(ROWS($H$1:$H613),Index,0)),"")</f>
        <v>Клочкова Алина Евгеньевна;6-19Р141/2019;;№6</v>
      </c>
    </row>
    <row r="614" spans="1:8" ht="16.149999999999999" customHeight="1" x14ac:dyDescent="0.2">
      <c r="A614" s="72"/>
      <c r="B614" s="73" t="s">
        <v>1284</v>
      </c>
      <c r="C614" s="71" t="s">
        <v>1285</v>
      </c>
      <c r="D614" s="73" t="s">
        <v>55</v>
      </c>
      <c r="E614" s="50" t="str">
        <f t="shared" si="18"/>
        <v>Козицын Семен Денисович;6-19Р142/2019;;№6</v>
      </c>
      <c r="F614" s="50" t="b">
        <f t="shared" si="19"/>
        <v>1</v>
      </c>
      <c r="G614" s="50">
        <f>IF($F614,COUNTIF($F$1:$F614,TRUE),"")</f>
        <v>614</v>
      </c>
      <c r="H614" s="50" t="str">
        <f>IFERROR(INDEX(NameStudent,MATCH(ROWS($H$1:$H614),Index,0)),"")</f>
        <v>Козицын Семен Денисович;6-19Р142/2019;;№6</v>
      </c>
    </row>
    <row r="615" spans="1:8" ht="16.149999999999999" customHeight="1" x14ac:dyDescent="0.2">
      <c r="A615" s="72"/>
      <c r="B615" s="73" t="s">
        <v>1286</v>
      </c>
      <c r="C615" s="71" t="s">
        <v>1287</v>
      </c>
      <c r="D615" s="73" t="s">
        <v>55</v>
      </c>
      <c r="E615" s="50" t="str">
        <f t="shared" si="18"/>
        <v>Колесов Ярослав Дмитриевич;6-19Р028/2019;;№6</v>
      </c>
      <c r="F615" s="50" t="b">
        <f t="shared" si="19"/>
        <v>1</v>
      </c>
      <c r="G615" s="50">
        <f>IF($F615,COUNTIF($F$1:$F615,TRUE),"")</f>
        <v>615</v>
      </c>
      <c r="H615" s="50" t="str">
        <f>IFERROR(INDEX(NameStudent,MATCH(ROWS($H$1:$H615),Index,0)),"")</f>
        <v>Колесов Ярослав Дмитриевич;6-19Р028/2019;;№6</v>
      </c>
    </row>
    <row r="616" spans="1:8" ht="16.149999999999999" customHeight="1" x14ac:dyDescent="0.2">
      <c r="A616" s="72"/>
      <c r="B616" s="73" t="s">
        <v>1288</v>
      </c>
      <c r="C616" s="71" t="s">
        <v>1289</v>
      </c>
      <c r="D616" s="73" t="s">
        <v>55</v>
      </c>
      <c r="E616" s="50" t="str">
        <f t="shared" si="18"/>
        <v>Комиссарова Анастасия Николаевна;6-19Р004/2019;;№6</v>
      </c>
      <c r="F616" s="50" t="b">
        <f t="shared" si="19"/>
        <v>1</v>
      </c>
      <c r="G616" s="50">
        <f>IF($F616,COUNTIF($F$1:$F616,TRUE),"")</f>
        <v>616</v>
      </c>
      <c r="H616" s="50" t="str">
        <f>IFERROR(INDEX(NameStudent,MATCH(ROWS($H$1:$H616),Index,0)),"")</f>
        <v>Комиссарова Анастасия Николаевна;6-19Р004/2019;;№6</v>
      </c>
    </row>
    <row r="617" spans="1:8" ht="16.149999999999999" customHeight="1" x14ac:dyDescent="0.2">
      <c r="A617" s="72"/>
      <c r="B617" s="73" t="s">
        <v>1290</v>
      </c>
      <c r="C617" s="71" t="s">
        <v>1291</v>
      </c>
      <c r="D617" s="73" t="s">
        <v>55</v>
      </c>
      <c r="E617" s="50" t="str">
        <f t="shared" si="18"/>
        <v>Конов Антон Викторович;6-19Р159/2019;;№6</v>
      </c>
      <c r="F617" s="50" t="b">
        <f t="shared" si="19"/>
        <v>1</v>
      </c>
      <c r="G617" s="50">
        <f>IF($F617,COUNTIF($F$1:$F617,TRUE),"")</f>
        <v>617</v>
      </c>
      <c r="H617" s="50" t="str">
        <f>IFERROR(INDEX(NameStudent,MATCH(ROWS($H$1:$H617),Index,0)),"")</f>
        <v>Конов Антон Викторович;6-19Р159/2019;;№6</v>
      </c>
    </row>
    <row r="618" spans="1:8" ht="16.149999999999999" customHeight="1" x14ac:dyDescent="0.2">
      <c r="A618" s="72"/>
      <c r="B618" s="73" t="s">
        <v>1292</v>
      </c>
      <c r="C618" s="71" t="s">
        <v>1293</v>
      </c>
      <c r="D618" s="73" t="s">
        <v>55</v>
      </c>
      <c r="E618" s="50" t="str">
        <f t="shared" si="18"/>
        <v>Копачев Даниил Дмитриевич;6-19Р051/2019;;№6</v>
      </c>
      <c r="F618" s="50" t="b">
        <f t="shared" si="19"/>
        <v>1</v>
      </c>
      <c r="G618" s="50">
        <f>IF($F618,COUNTIF($F$1:$F618,TRUE),"")</f>
        <v>618</v>
      </c>
      <c r="H618" s="50" t="str">
        <f>IFERROR(INDEX(NameStudent,MATCH(ROWS($H$1:$H618),Index,0)),"")</f>
        <v>Копачев Даниил Дмитриевич;6-19Р051/2019;;№6</v>
      </c>
    </row>
    <row r="619" spans="1:8" ht="16.149999999999999" customHeight="1" x14ac:dyDescent="0.2">
      <c r="A619" s="72"/>
      <c r="B619" s="73" t="s">
        <v>1294</v>
      </c>
      <c r="C619" s="71" t="s">
        <v>1295</v>
      </c>
      <c r="D619" s="73" t="s">
        <v>55</v>
      </c>
      <c r="E619" s="50" t="str">
        <f t="shared" si="18"/>
        <v>Красильников Максим Константинович;6-19Р143/2019;;№6</v>
      </c>
      <c r="F619" s="50" t="b">
        <f t="shared" si="19"/>
        <v>1</v>
      </c>
      <c r="G619" s="50">
        <f>IF($F619,COUNTIF($F$1:$F619,TRUE),"")</f>
        <v>619</v>
      </c>
      <c r="H619" s="50" t="str">
        <f>IFERROR(INDEX(NameStudent,MATCH(ROWS($H$1:$H619),Index,0)),"")</f>
        <v>Красильников Максим Константинович;6-19Р143/2019;;№6</v>
      </c>
    </row>
    <row r="620" spans="1:8" ht="16.149999999999999" customHeight="1" x14ac:dyDescent="0.2">
      <c r="A620" s="72"/>
      <c r="B620" s="73" t="s">
        <v>1296</v>
      </c>
      <c r="C620" s="71" t="s">
        <v>1297</v>
      </c>
      <c r="D620" s="73" t="s">
        <v>55</v>
      </c>
      <c r="E620" s="50" t="str">
        <f t="shared" si="18"/>
        <v>Крыштоп Александр Игоревич;6-19Р116/2019;;№6</v>
      </c>
      <c r="F620" s="50" t="b">
        <f t="shared" si="19"/>
        <v>1</v>
      </c>
      <c r="G620" s="50">
        <f>IF($F620,COUNTIF($F$1:$F620,TRUE),"")</f>
        <v>620</v>
      </c>
      <c r="H620" s="50" t="str">
        <f>IFERROR(INDEX(NameStudent,MATCH(ROWS($H$1:$H620),Index,0)),"")</f>
        <v>Крыштоп Александр Игоревич;6-19Р116/2019;;№6</v>
      </c>
    </row>
    <row r="621" spans="1:8" ht="16.149999999999999" customHeight="1" x14ac:dyDescent="0.2">
      <c r="A621" s="72"/>
      <c r="B621" s="73" t="s">
        <v>1298</v>
      </c>
      <c r="C621" s="71" t="s">
        <v>1299</v>
      </c>
      <c r="D621" s="73" t="s">
        <v>55</v>
      </c>
      <c r="E621" s="50" t="str">
        <f t="shared" si="18"/>
        <v>Кудрявцев Александр Юрьевич;6-19Р053/2019;;№6</v>
      </c>
      <c r="F621" s="50" t="b">
        <f t="shared" si="19"/>
        <v>1</v>
      </c>
      <c r="G621" s="50">
        <f>IF($F621,COUNTIF($F$1:$F621,TRUE),"")</f>
        <v>621</v>
      </c>
      <c r="H621" s="50" t="str">
        <f>IFERROR(INDEX(NameStudent,MATCH(ROWS($H$1:$H621),Index,0)),"")</f>
        <v>Кудрявцев Александр Юрьевич;6-19Р053/2019;;№6</v>
      </c>
    </row>
    <row r="622" spans="1:8" ht="16.149999999999999" customHeight="1" x14ac:dyDescent="0.2">
      <c r="A622" s="72"/>
      <c r="B622" s="73" t="s">
        <v>1300</v>
      </c>
      <c r="C622" s="71" t="s">
        <v>1301</v>
      </c>
      <c r="D622" s="73" t="s">
        <v>55</v>
      </c>
      <c r="E622" s="50" t="str">
        <f t="shared" si="18"/>
        <v>Кузнецов Даниил Дмитриевич;6-19Р054/2019;;№6</v>
      </c>
      <c r="F622" s="50" t="b">
        <f t="shared" si="19"/>
        <v>1</v>
      </c>
      <c r="G622" s="50">
        <f>IF($F622,COUNTIF($F$1:$F622,TRUE),"")</f>
        <v>622</v>
      </c>
      <c r="H622" s="50" t="str">
        <f>IFERROR(INDEX(NameStudent,MATCH(ROWS($H$1:$H622),Index,0)),"")</f>
        <v>Кузнецов Даниил Дмитриевич;6-19Р054/2019;;№6</v>
      </c>
    </row>
    <row r="623" spans="1:8" ht="16.149999999999999" customHeight="1" x14ac:dyDescent="0.2">
      <c r="A623" s="72"/>
      <c r="B623" s="73" t="s">
        <v>1302</v>
      </c>
      <c r="C623" s="71" t="s">
        <v>1303</v>
      </c>
      <c r="D623" s="73" t="s">
        <v>55</v>
      </c>
      <c r="E623" s="50" t="str">
        <f t="shared" si="18"/>
        <v>Кутепов Никита Сергеевич;6-19Р162/2019;;№6</v>
      </c>
      <c r="F623" s="50" t="b">
        <f t="shared" si="19"/>
        <v>1</v>
      </c>
      <c r="G623" s="50">
        <f>IF($F623,COUNTIF($F$1:$F623,TRUE),"")</f>
        <v>623</v>
      </c>
      <c r="H623" s="50" t="str">
        <f>IFERROR(INDEX(NameStudent,MATCH(ROWS($H$1:$H623),Index,0)),"")</f>
        <v>Кутепов Никита Сергеевич;6-19Р162/2019;;№6</v>
      </c>
    </row>
    <row r="624" spans="1:8" ht="16.149999999999999" customHeight="1" x14ac:dyDescent="0.2">
      <c r="A624" s="72"/>
      <c r="B624" s="73" t="s">
        <v>1304</v>
      </c>
      <c r="C624" s="71" t="s">
        <v>1305</v>
      </c>
      <c r="D624" s="73" t="s">
        <v>55</v>
      </c>
      <c r="E624" s="50" t="str">
        <f t="shared" si="18"/>
        <v>Кучин Илья Петрович;6-19Р029/2019;;№6</v>
      </c>
      <c r="F624" s="50" t="b">
        <f t="shared" si="19"/>
        <v>1</v>
      </c>
      <c r="G624" s="50">
        <f>IF($F624,COUNTIF($F$1:$F624,TRUE),"")</f>
        <v>624</v>
      </c>
      <c r="H624" s="50" t="str">
        <f>IFERROR(INDEX(NameStudent,MATCH(ROWS($H$1:$H624),Index,0)),"")</f>
        <v>Кучин Илья Петрович;6-19Р029/2019;;№6</v>
      </c>
    </row>
    <row r="625" spans="1:8" ht="16.149999999999999" customHeight="1" x14ac:dyDescent="0.2">
      <c r="A625" s="72"/>
      <c r="B625" s="73" t="s">
        <v>1306</v>
      </c>
      <c r="C625" s="71" t="s">
        <v>1307</v>
      </c>
      <c r="D625" s="73" t="s">
        <v>55</v>
      </c>
      <c r="E625" s="50" t="str">
        <f t="shared" si="18"/>
        <v>Кычакова Полина Александровна;6-19Р118/2019;;№6</v>
      </c>
      <c r="F625" s="50" t="b">
        <f t="shared" si="19"/>
        <v>1</v>
      </c>
      <c r="G625" s="50">
        <f>IF($F625,COUNTIF($F$1:$F625,TRUE),"")</f>
        <v>625</v>
      </c>
      <c r="H625" s="50" t="str">
        <f>IFERROR(INDEX(NameStudent,MATCH(ROWS($H$1:$H625),Index,0)),"")</f>
        <v>Кычакова Полина Александровна;6-19Р118/2019;;№6</v>
      </c>
    </row>
    <row r="626" spans="1:8" ht="16.149999999999999" customHeight="1" x14ac:dyDescent="0.2">
      <c r="A626" s="72"/>
      <c r="B626" s="73" t="s">
        <v>1308</v>
      </c>
      <c r="C626" s="71" t="s">
        <v>1309</v>
      </c>
      <c r="D626" s="73" t="s">
        <v>55</v>
      </c>
      <c r="E626" s="50" t="str">
        <f t="shared" si="18"/>
        <v>Латыпов Родион Алексеевич;6-19Р055/2019;;№6</v>
      </c>
      <c r="F626" s="50" t="b">
        <f t="shared" si="19"/>
        <v>1</v>
      </c>
      <c r="G626" s="50">
        <f>IF($F626,COUNTIF($F$1:$F626,TRUE),"")</f>
        <v>626</v>
      </c>
      <c r="H626" s="50" t="str">
        <f>IFERROR(INDEX(NameStudent,MATCH(ROWS($H$1:$H626),Index,0)),"")</f>
        <v>Латыпов Родион Алексеевич;6-19Р055/2019;;№6</v>
      </c>
    </row>
    <row r="627" spans="1:8" ht="16.149999999999999" customHeight="1" x14ac:dyDescent="0.2">
      <c r="A627" s="72"/>
      <c r="B627" s="73" t="s">
        <v>1310</v>
      </c>
      <c r="C627" s="71" t="s">
        <v>1311</v>
      </c>
      <c r="D627" s="73" t="s">
        <v>55</v>
      </c>
      <c r="E627" s="50" t="str">
        <f t="shared" si="18"/>
        <v>Лебедев Владислав Александрович;6-19Р030/2019;;№6</v>
      </c>
      <c r="F627" s="50" t="b">
        <f t="shared" si="19"/>
        <v>1</v>
      </c>
      <c r="G627" s="50">
        <f>IF($F627,COUNTIF($F$1:$F627,TRUE),"")</f>
        <v>627</v>
      </c>
      <c r="H627" s="50" t="str">
        <f>IFERROR(INDEX(NameStudent,MATCH(ROWS($H$1:$H627),Index,0)),"")</f>
        <v>Лебедев Владислав Александрович;6-19Р030/2019;;№6</v>
      </c>
    </row>
    <row r="628" spans="1:8" ht="16.149999999999999" customHeight="1" x14ac:dyDescent="0.2">
      <c r="A628" s="72"/>
      <c r="B628" s="73" t="s">
        <v>1312</v>
      </c>
      <c r="C628" s="71" t="s">
        <v>1313</v>
      </c>
      <c r="D628" s="73" t="s">
        <v>55</v>
      </c>
      <c r="E628" s="50" t="str">
        <f t="shared" si="18"/>
        <v>Левищев Иван Александрович;6-19Р056/2019;;№6</v>
      </c>
      <c r="F628" s="50" t="b">
        <f t="shared" si="19"/>
        <v>1</v>
      </c>
      <c r="G628" s="50">
        <f>IF($F628,COUNTIF($F$1:$F628,TRUE),"")</f>
        <v>628</v>
      </c>
      <c r="H628" s="50" t="str">
        <f>IFERROR(INDEX(NameStudent,MATCH(ROWS($H$1:$H628),Index,0)),"")</f>
        <v>Левищев Иван Александрович;6-19Р056/2019;;№6</v>
      </c>
    </row>
    <row r="629" spans="1:8" ht="16.149999999999999" customHeight="1" x14ac:dyDescent="0.2">
      <c r="A629" s="72"/>
      <c r="B629" s="73" t="s">
        <v>1314</v>
      </c>
      <c r="C629" s="71" t="s">
        <v>1315</v>
      </c>
      <c r="D629" s="73" t="s">
        <v>55</v>
      </c>
      <c r="E629" s="50" t="str">
        <f t="shared" si="18"/>
        <v>Леонов Александр Олегович;6-19Р014/2019;;№6</v>
      </c>
      <c r="F629" s="50" t="b">
        <f t="shared" si="19"/>
        <v>1</v>
      </c>
      <c r="G629" s="50">
        <f>IF($F629,COUNTIF($F$1:$F629,TRUE),"")</f>
        <v>629</v>
      </c>
      <c r="H629" s="50" t="str">
        <f>IFERROR(INDEX(NameStudent,MATCH(ROWS($H$1:$H629),Index,0)),"")</f>
        <v>Леонов Александр Олегович;6-19Р014/2019;;№6</v>
      </c>
    </row>
    <row r="630" spans="1:8" ht="16.149999999999999" customHeight="1" x14ac:dyDescent="0.2">
      <c r="A630" s="72"/>
      <c r="B630" s="73" t="s">
        <v>1316</v>
      </c>
      <c r="C630" s="71" t="s">
        <v>1317</v>
      </c>
      <c r="D630" s="73" t="s">
        <v>55</v>
      </c>
      <c r="E630" s="50" t="str">
        <f t="shared" si="18"/>
        <v>Лускин Егор Евгеньевич;6-19Р173/2019;;№6</v>
      </c>
      <c r="F630" s="50" t="b">
        <f t="shared" si="19"/>
        <v>1</v>
      </c>
      <c r="G630" s="50">
        <f>IF($F630,COUNTIF($F$1:$F630,TRUE),"")</f>
        <v>630</v>
      </c>
      <c r="H630" s="50" t="str">
        <f>IFERROR(INDEX(NameStudent,MATCH(ROWS($H$1:$H630),Index,0)),"")</f>
        <v>Лускин Егор Евгеньевич;6-19Р173/2019;;№6</v>
      </c>
    </row>
    <row r="631" spans="1:8" ht="16.149999999999999" customHeight="1" x14ac:dyDescent="0.2">
      <c r="A631" s="72"/>
      <c r="B631" s="73" t="s">
        <v>1318</v>
      </c>
      <c r="C631" s="71" t="s">
        <v>1319</v>
      </c>
      <c r="D631" s="73" t="s">
        <v>55</v>
      </c>
      <c r="E631" s="50" t="str">
        <f t="shared" si="18"/>
        <v>Ляхов Даниил Евгеньевич;6-19Р119/2019;;№6</v>
      </c>
      <c r="F631" s="50" t="b">
        <f t="shared" si="19"/>
        <v>1</v>
      </c>
      <c r="G631" s="50">
        <f>IF($F631,COUNTIF($F$1:$F631,TRUE),"")</f>
        <v>631</v>
      </c>
      <c r="H631" s="50" t="str">
        <f>IFERROR(INDEX(NameStudent,MATCH(ROWS($H$1:$H631),Index,0)),"")</f>
        <v>Ляхов Даниил Евгеньевич;6-19Р119/2019;;№6</v>
      </c>
    </row>
    <row r="632" spans="1:8" ht="16.149999999999999" customHeight="1" x14ac:dyDescent="0.2">
      <c r="A632" s="72"/>
      <c r="B632" s="73" t="s">
        <v>1320</v>
      </c>
      <c r="C632" s="71" t="s">
        <v>1321</v>
      </c>
      <c r="D632" s="73" t="s">
        <v>55</v>
      </c>
      <c r="E632" s="50" t="str">
        <f t="shared" si="18"/>
        <v>Магомедов Зайнутдин Арсланович;6-19Р163/2019;;№6</v>
      </c>
      <c r="F632" s="50" t="b">
        <f t="shared" si="19"/>
        <v>1</v>
      </c>
      <c r="G632" s="50">
        <f>IF($F632,COUNTIF($F$1:$F632,TRUE),"")</f>
        <v>632</v>
      </c>
      <c r="H632" s="50" t="str">
        <f>IFERROR(INDEX(NameStudent,MATCH(ROWS($H$1:$H632),Index,0)),"")</f>
        <v>Магомедов Зайнутдин Арсланович;6-19Р163/2019;;№6</v>
      </c>
    </row>
    <row r="633" spans="1:8" ht="16.149999999999999" customHeight="1" x14ac:dyDescent="0.2">
      <c r="A633" s="72"/>
      <c r="B633" s="73" t="s">
        <v>1322</v>
      </c>
      <c r="C633" s="71" t="s">
        <v>1323</v>
      </c>
      <c r="D633" s="73" t="s">
        <v>55</v>
      </c>
      <c r="E633" s="50" t="str">
        <f t="shared" si="18"/>
        <v>Магомедов Саид Джапарович;6-19Р120/2019;;№6</v>
      </c>
      <c r="F633" s="50" t="b">
        <f t="shared" si="19"/>
        <v>1</v>
      </c>
      <c r="G633" s="50">
        <f>IF($F633,COUNTIF($F$1:$F633,TRUE),"")</f>
        <v>633</v>
      </c>
      <c r="H633" s="50" t="str">
        <f>IFERROR(INDEX(NameStudent,MATCH(ROWS($H$1:$H633),Index,0)),"")</f>
        <v>Магомедов Саид Джапарович;6-19Р120/2019;;№6</v>
      </c>
    </row>
    <row r="634" spans="1:8" ht="16.149999999999999" customHeight="1" x14ac:dyDescent="0.2">
      <c r="A634" s="72"/>
      <c r="B634" s="73" t="s">
        <v>1324</v>
      </c>
      <c r="C634" s="71" t="s">
        <v>1325</v>
      </c>
      <c r="D634" s="73" t="s">
        <v>55</v>
      </c>
      <c r="E634" s="50" t="str">
        <f t="shared" si="18"/>
        <v>Макарова Ольга Павловна;6-19Р057/2019;;№6</v>
      </c>
      <c r="F634" s="50" t="b">
        <f t="shared" si="19"/>
        <v>1</v>
      </c>
      <c r="G634" s="50">
        <f>IF($F634,COUNTIF($F$1:$F634,TRUE),"")</f>
        <v>634</v>
      </c>
      <c r="H634" s="50" t="str">
        <f>IFERROR(INDEX(NameStudent,MATCH(ROWS($H$1:$H634),Index,0)),"")</f>
        <v>Макарова Ольга Павловна;6-19Р057/2019;;№6</v>
      </c>
    </row>
    <row r="635" spans="1:8" ht="16.149999999999999" customHeight="1" x14ac:dyDescent="0.2">
      <c r="A635" s="72"/>
      <c r="B635" s="73" t="s">
        <v>1326</v>
      </c>
      <c r="C635" s="71" t="s">
        <v>1327</v>
      </c>
      <c r="D635" s="73" t="s">
        <v>55</v>
      </c>
      <c r="E635" s="50" t="str">
        <f t="shared" si="18"/>
        <v>Максименко Юлия Игоревна;6-19Р058/2019;;№6</v>
      </c>
      <c r="F635" s="50" t="b">
        <f t="shared" si="19"/>
        <v>1</v>
      </c>
      <c r="G635" s="50">
        <f>IF($F635,COUNTIF($F$1:$F635,TRUE),"")</f>
        <v>635</v>
      </c>
      <c r="H635" s="50" t="str">
        <f>IFERROR(INDEX(NameStudent,MATCH(ROWS($H$1:$H635),Index,0)),"")</f>
        <v>Максименко Юлия Игоревна;6-19Р058/2019;;№6</v>
      </c>
    </row>
    <row r="636" spans="1:8" ht="16.149999999999999" customHeight="1" x14ac:dyDescent="0.2">
      <c r="A636" s="72"/>
      <c r="B636" s="73" t="s">
        <v>1328</v>
      </c>
      <c r="C636" s="71" t="s">
        <v>1329</v>
      </c>
      <c r="D636" s="73" t="s">
        <v>55</v>
      </c>
      <c r="E636" s="50" t="str">
        <f t="shared" si="18"/>
        <v>Максимова Елизавета Геннадьевна;6-19Р121/2019;;№6</v>
      </c>
      <c r="F636" s="50" t="b">
        <f t="shared" si="19"/>
        <v>1</v>
      </c>
      <c r="G636" s="50">
        <f>IF($F636,COUNTIF($F$1:$F636,TRUE),"")</f>
        <v>636</v>
      </c>
      <c r="H636" s="50" t="str">
        <f>IFERROR(INDEX(NameStudent,MATCH(ROWS($H$1:$H636),Index,0)),"")</f>
        <v>Максимова Елизавета Геннадьевна;6-19Р121/2019;;№6</v>
      </c>
    </row>
    <row r="637" spans="1:8" ht="16.149999999999999" customHeight="1" x14ac:dyDescent="0.2">
      <c r="A637" s="72"/>
      <c r="B637" s="73" t="s">
        <v>1330</v>
      </c>
      <c r="C637" s="71" t="s">
        <v>1331</v>
      </c>
      <c r="D637" s="73" t="s">
        <v>55</v>
      </c>
      <c r="E637" s="50" t="str">
        <f t="shared" si="18"/>
        <v>Манюшин Илья Григорьевич;6-19Р059/2019;;№6</v>
      </c>
      <c r="F637" s="50" t="b">
        <f t="shared" si="19"/>
        <v>1</v>
      </c>
      <c r="G637" s="50">
        <f>IF($F637,COUNTIF($F$1:$F637,TRUE),"")</f>
        <v>637</v>
      </c>
      <c r="H637" s="50" t="str">
        <f>IFERROR(INDEX(NameStudent,MATCH(ROWS($H$1:$H637),Index,0)),"")</f>
        <v>Манюшин Илья Григорьевич;6-19Р059/2019;;№6</v>
      </c>
    </row>
    <row r="638" spans="1:8" ht="16.149999999999999" customHeight="1" x14ac:dyDescent="0.2">
      <c r="A638" s="72"/>
      <c r="B638" s="73" t="s">
        <v>1332</v>
      </c>
      <c r="C638" s="71" t="s">
        <v>1333</v>
      </c>
      <c r="D638" s="73" t="s">
        <v>55</v>
      </c>
      <c r="E638" s="50" t="str">
        <f t="shared" si="18"/>
        <v>Марадудина Вероника Валерьевна;6-19Р005/2019;;№6</v>
      </c>
      <c r="F638" s="50" t="b">
        <f t="shared" si="19"/>
        <v>1</v>
      </c>
      <c r="G638" s="50">
        <f>IF($F638,COUNTIF($F$1:$F638,TRUE),"")</f>
        <v>638</v>
      </c>
      <c r="H638" s="50" t="str">
        <f>IFERROR(INDEX(NameStudent,MATCH(ROWS($H$1:$H638),Index,0)),"")</f>
        <v>Марадудина Вероника Валерьевна;6-19Р005/2019;;№6</v>
      </c>
    </row>
    <row r="639" spans="1:8" ht="16.149999999999999" customHeight="1" x14ac:dyDescent="0.2">
      <c r="A639" s="72"/>
      <c r="B639" s="73" t="s">
        <v>1334</v>
      </c>
      <c r="C639" s="71" t="s">
        <v>1335</v>
      </c>
      <c r="D639" s="73" t="s">
        <v>55</v>
      </c>
      <c r="E639" s="50" t="str">
        <f t="shared" si="18"/>
        <v>Масленников Артем Кириллович;6-19Р095/2019;;№6</v>
      </c>
      <c r="F639" s="50" t="b">
        <f t="shared" si="19"/>
        <v>1</v>
      </c>
      <c r="G639" s="50">
        <f>IF($F639,COUNTIF($F$1:$F639,TRUE),"")</f>
        <v>639</v>
      </c>
      <c r="H639" s="50" t="str">
        <f>IFERROR(INDEX(NameStudent,MATCH(ROWS($H$1:$H639),Index,0)),"")</f>
        <v>Масленников Артем Кириллович;6-19Р095/2019;;№6</v>
      </c>
    </row>
    <row r="640" spans="1:8" ht="16.149999999999999" customHeight="1" x14ac:dyDescent="0.2">
      <c r="A640" s="72"/>
      <c r="B640" s="73" t="s">
        <v>1336</v>
      </c>
      <c r="C640" s="71" t="s">
        <v>1337</v>
      </c>
      <c r="D640" s="73" t="s">
        <v>55</v>
      </c>
      <c r="E640" s="50" t="str">
        <f t="shared" si="18"/>
        <v>Мешалкин Марк Андреевич;6-19Р144/2019;;№6</v>
      </c>
      <c r="F640" s="50" t="b">
        <f t="shared" si="19"/>
        <v>1</v>
      </c>
      <c r="G640" s="50">
        <f>IF($F640,COUNTIF($F$1:$F640,TRUE),"")</f>
        <v>640</v>
      </c>
      <c r="H640" s="50" t="str">
        <f>IFERROR(INDEX(NameStudent,MATCH(ROWS($H$1:$H640),Index,0)),"")</f>
        <v>Мешалкин Марк Андреевич;6-19Р144/2019;;№6</v>
      </c>
    </row>
    <row r="641" spans="1:8" ht="16.149999999999999" customHeight="1" x14ac:dyDescent="0.2">
      <c r="A641" s="72"/>
      <c r="B641" s="73" t="s">
        <v>1338</v>
      </c>
      <c r="C641" s="71" t="s">
        <v>1339</v>
      </c>
      <c r="D641" s="73" t="s">
        <v>55</v>
      </c>
      <c r="E641" s="50" t="str">
        <f t="shared" ref="E641:E704" si="20">LEFT(C641,IF(ISERROR(FIND(":",C641))=TRUE,LEN(C641),FIND(":",C641)-1)) &amp; ";" &amp; B641 &amp; ";" &amp; A641 &amp; ";" &amp;D641</f>
        <v>Минина Дарья Николаевна;6-19Р123/2019;;№6</v>
      </c>
      <c r="F641" s="50" t="b">
        <f t="shared" ref="F641:F704" si="21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Минина Дарья Николаевна;6-19Р123/2019;;№6</v>
      </c>
    </row>
    <row r="642" spans="1:8" ht="16.149999999999999" customHeight="1" x14ac:dyDescent="0.2">
      <c r="A642" s="72"/>
      <c r="B642" s="73" t="s">
        <v>1340</v>
      </c>
      <c r="C642" s="71" t="s">
        <v>1341</v>
      </c>
      <c r="D642" s="73" t="s">
        <v>55</v>
      </c>
      <c r="E642" s="50" t="str">
        <f t="shared" si="20"/>
        <v>Морозов Александр Юрьевич;6-19Р124/2019;;№6</v>
      </c>
      <c r="F642" s="50" t="b">
        <f t="shared" si="21"/>
        <v>1</v>
      </c>
      <c r="G642" s="50">
        <f>IF($F642,COUNTIF($F$1:$F642,TRUE),"")</f>
        <v>642</v>
      </c>
      <c r="H642" s="50" t="str">
        <f>IFERROR(INDEX(NameStudent,MATCH(ROWS($H$1:$H642),Index,0)),"")</f>
        <v>Морозов Александр Юрьевич;6-19Р124/2019;;№6</v>
      </c>
    </row>
    <row r="643" spans="1:8" ht="16.149999999999999" customHeight="1" x14ac:dyDescent="0.2">
      <c r="A643" s="72"/>
      <c r="B643" s="73" t="s">
        <v>1342</v>
      </c>
      <c r="C643" s="71" t="s">
        <v>1343</v>
      </c>
      <c r="D643" s="73" t="s">
        <v>55</v>
      </c>
      <c r="E643" s="50" t="str">
        <f t="shared" si="20"/>
        <v>Моршанский Владислав Сергеевич;6-19Р096/2019;;№6</v>
      </c>
      <c r="F643" s="50" t="b">
        <f t="shared" si="21"/>
        <v>1</v>
      </c>
      <c r="G643" s="50">
        <f>IF($F643,COUNTIF($F$1:$F643,TRUE),"")</f>
        <v>643</v>
      </c>
      <c r="H643" s="50" t="str">
        <f>IFERROR(INDEX(NameStudent,MATCH(ROWS($H$1:$H643),Index,0)),"")</f>
        <v>Моршанский Владислав Сергеевич;6-19Р096/2019;;№6</v>
      </c>
    </row>
    <row r="644" spans="1:8" ht="16.149999999999999" customHeight="1" x14ac:dyDescent="0.2">
      <c r="A644" s="72"/>
      <c r="B644" s="73" t="s">
        <v>1344</v>
      </c>
      <c r="C644" s="71" t="s">
        <v>1345</v>
      </c>
      <c r="D644" s="73" t="s">
        <v>55</v>
      </c>
      <c r="E644" s="50" t="str">
        <f t="shared" si="20"/>
        <v>Москвина Виктория Владимировна;6-19Р031/2019;;№6</v>
      </c>
      <c r="F644" s="50" t="b">
        <f t="shared" si="21"/>
        <v>1</v>
      </c>
      <c r="G644" s="50">
        <f>IF($F644,COUNTIF($F$1:$F644,TRUE),"")</f>
        <v>644</v>
      </c>
      <c r="H644" s="50" t="str">
        <f>IFERROR(INDEX(NameStudent,MATCH(ROWS($H$1:$H644),Index,0)),"")</f>
        <v>Москвина Виктория Владимировна;6-19Р031/2019;;№6</v>
      </c>
    </row>
    <row r="645" spans="1:8" ht="16.149999999999999" customHeight="1" x14ac:dyDescent="0.2">
      <c r="A645" s="72"/>
      <c r="B645" s="73" t="s">
        <v>1346</v>
      </c>
      <c r="C645" s="71" t="s">
        <v>1347</v>
      </c>
      <c r="D645" s="73" t="s">
        <v>55</v>
      </c>
      <c r="E645" s="50" t="str">
        <f t="shared" si="20"/>
        <v>Насырова Римма Дамировна;6-19Р097/2019;;№6</v>
      </c>
      <c r="F645" s="50" t="b">
        <f t="shared" si="21"/>
        <v>1</v>
      </c>
      <c r="G645" s="50">
        <f>IF($F645,COUNTIF($F$1:$F645,TRUE),"")</f>
        <v>645</v>
      </c>
      <c r="H645" s="50" t="str">
        <f>IFERROR(INDEX(NameStudent,MATCH(ROWS($H$1:$H645),Index,0)),"")</f>
        <v>Насырова Римма Дамировна;6-19Р097/2019;;№6</v>
      </c>
    </row>
    <row r="646" spans="1:8" ht="16.149999999999999" customHeight="1" x14ac:dyDescent="0.2">
      <c r="A646" s="72"/>
      <c r="B646" s="73" t="s">
        <v>1348</v>
      </c>
      <c r="C646" s="71" t="s">
        <v>1349</v>
      </c>
      <c r="D646" s="73" t="s">
        <v>55</v>
      </c>
      <c r="E646" s="50" t="str">
        <f t="shared" si="20"/>
        <v>Наурзалиев Данияр Махмутович;6-19Р098/2019;;№6</v>
      </c>
      <c r="F646" s="50" t="b">
        <f t="shared" si="21"/>
        <v>1</v>
      </c>
      <c r="G646" s="50">
        <f>IF($F646,COUNTIF($F$1:$F646,TRUE),"")</f>
        <v>646</v>
      </c>
      <c r="H646" s="50" t="str">
        <f>IFERROR(INDEX(NameStudent,MATCH(ROWS($H$1:$H646),Index,0)),"")</f>
        <v>Наурзалиев Данияр Махмутович;6-19Р098/2019;;№6</v>
      </c>
    </row>
    <row r="647" spans="1:8" ht="16.149999999999999" customHeight="1" x14ac:dyDescent="0.2">
      <c r="A647" s="72"/>
      <c r="B647" s="73" t="s">
        <v>1350</v>
      </c>
      <c r="C647" s="71" t="s">
        <v>1351</v>
      </c>
      <c r="D647" s="73" t="s">
        <v>55</v>
      </c>
      <c r="E647" s="50" t="str">
        <f t="shared" si="20"/>
        <v>Никуленкова Олеся Вячеславовна;6-19Р062/2019;;№6</v>
      </c>
      <c r="F647" s="50" t="b">
        <f t="shared" si="21"/>
        <v>1</v>
      </c>
      <c r="G647" s="50">
        <f>IF($F647,COUNTIF($F$1:$F647,TRUE),"")</f>
        <v>647</v>
      </c>
      <c r="H647" s="50" t="str">
        <f>IFERROR(INDEX(NameStudent,MATCH(ROWS($H$1:$H647),Index,0)),"")</f>
        <v>Никуленкова Олеся Вячеславовна;6-19Р062/2019;;№6</v>
      </c>
    </row>
    <row r="648" spans="1:8" ht="16.149999999999999" customHeight="1" x14ac:dyDescent="0.2">
      <c r="A648" s="72"/>
      <c r="B648" s="73" t="s">
        <v>1352</v>
      </c>
      <c r="C648" s="71" t="s">
        <v>1353</v>
      </c>
      <c r="D648" s="73" t="s">
        <v>55</v>
      </c>
      <c r="E648" s="50" t="str">
        <f t="shared" si="20"/>
        <v>Новиков Антон Александрович;6-19Р145/2019;;№6</v>
      </c>
      <c r="F648" s="50" t="b">
        <f t="shared" si="21"/>
        <v>1</v>
      </c>
      <c r="G648" s="50">
        <f>IF($F648,COUNTIF($F$1:$F648,TRUE),"")</f>
        <v>648</v>
      </c>
      <c r="H648" s="50" t="str">
        <f>IFERROR(INDEX(NameStudent,MATCH(ROWS($H$1:$H648),Index,0)),"")</f>
        <v>Новиков Антон Александрович;6-19Р145/2019;;№6</v>
      </c>
    </row>
    <row r="649" spans="1:8" ht="16.149999999999999" customHeight="1" x14ac:dyDescent="0.2">
      <c r="A649" s="72"/>
      <c r="B649" s="73" t="s">
        <v>1354</v>
      </c>
      <c r="C649" s="71" t="s">
        <v>1355</v>
      </c>
      <c r="D649" s="73" t="s">
        <v>55</v>
      </c>
      <c r="E649" s="50" t="str">
        <f t="shared" si="20"/>
        <v>Нягу Никита Валерьевич;6-19Р063/2019;;№6</v>
      </c>
      <c r="F649" s="50" t="b">
        <f t="shared" si="21"/>
        <v>1</v>
      </c>
      <c r="G649" s="50">
        <f>IF($F649,COUNTIF($F$1:$F649,TRUE),"")</f>
        <v>649</v>
      </c>
      <c r="H649" s="50" t="str">
        <f>IFERROR(INDEX(NameStudent,MATCH(ROWS($H$1:$H649),Index,0)),"")</f>
        <v>Нягу Никита Валерьевич;6-19Р063/2019;;№6</v>
      </c>
    </row>
    <row r="650" spans="1:8" ht="16.149999999999999" customHeight="1" x14ac:dyDescent="0.2">
      <c r="A650" s="72"/>
      <c r="B650" s="73" t="s">
        <v>1356</v>
      </c>
      <c r="C650" s="71" t="s">
        <v>1357</v>
      </c>
      <c r="D650" s="73" t="s">
        <v>55</v>
      </c>
      <c r="E650" s="50" t="str">
        <f t="shared" si="20"/>
        <v>Оганесян Милена Арсеновна;6-19Р164/2019;;№6</v>
      </c>
      <c r="F650" s="50" t="b">
        <f t="shared" si="21"/>
        <v>1</v>
      </c>
      <c r="G650" s="50">
        <f>IF($F650,COUNTIF($F$1:$F650,TRUE),"")</f>
        <v>650</v>
      </c>
      <c r="H650" s="50" t="str">
        <f>IFERROR(INDEX(NameStudent,MATCH(ROWS($H$1:$H650),Index,0)),"")</f>
        <v>Оганесян Милена Арсеновна;6-19Р164/2019;;№6</v>
      </c>
    </row>
    <row r="651" spans="1:8" ht="16.149999999999999" customHeight="1" x14ac:dyDescent="0.2">
      <c r="A651" s="72"/>
      <c r="B651" s="73" t="s">
        <v>1358</v>
      </c>
      <c r="C651" s="71" t="s">
        <v>1359</v>
      </c>
      <c r="D651" s="73" t="s">
        <v>55</v>
      </c>
      <c r="E651" s="50" t="str">
        <f t="shared" si="20"/>
        <v>Озеров Александр Сергеевич;6-19Р064/2019;;№6</v>
      </c>
      <c r="F651" s="50" t="b">
        <f t="shared" si="21"/>
        <v>1</v>
      </c>
      <c r="G651" s="50">
        <f>IF($F651,COUNTIF($F$1:$F651,TRUE),"")</f>
        <v>651</v>
      </c>
      <c r="H651" s="50" t="str">
        <f>IFERROR(INDEX(NameStudent,MATCH(ROWS($H$1:$H651),Index,0)),"")</f>
        <v>Озеров Александр Сергеевич;6-19Р064/2019;;№6</v>
      </c>
    </row>
    <row r="652" spans="1:8" ht="16.149999999999999" customHeight="1" x14ac:dyDescent="0.2">
      <c r="A652" s="72"/>
      <c r="B652" s="73" t="s">
        <v>1360</v>
      </c>
      <c r="C652" s="71" t="s">
        <v>1361</v>
      </c>
      <c r="D652" s="73" t="s">
        <v>55</v>
      </c>
      <c r="E652" s="50" t="str">
        <f t="shared" si="20"/>
        <v>Очиров Бадма Юрьевич;6-19Р165/2019;;№6</v>
      </c>
      <c r="F652" s="50" t="b">
        <f t="shared" si="21"/>
        <v>1</v>
      </c>
      <c r="G652" s="50">
        <f>IF($F652,COUNTIF($F$1:$F652,TRUE),"")</f>
        <v>652</v>
      </c>
      <c r="H652" s="50" t="str">
        <f>IFERROR(INDEX(NameStudent,MATCH(ROWS($H$1:$H652),Index,0)),"")</f>
        <v>Очиров Бадма Юрьевич;6-19Р165/2019;;№6</v>
      </c>
    </row>
    <row r="653" spans="1:8" ht="16.149999999999999" customHeight="1" x14ac:dyDescent="0.2">
      <c r="A653" s="72"/>
      <c r="B653" s="73" t="s">
        <v>1362</v>
      </c>
      <c r="C653" s="71" t="s">
        <v>1363</v>
      </c>
      <c r="D653" s="73" t="s">
        <v>55</v>
      </c>
      <c r="E653" s="50" t="str">
        <f t="shared" si="20"/>
        <v>Ошоров Саян Кимович;6-19Р174/2019;;№6</v>
      </c>
      <c r="F653" s="50" t="b">
        <f t="shared" si="21"/>
        <v>1</v>
      </c>
      <c r="G653" s="50">
        <f>IF($F653,COUNTIF($F$1:$F653,TRUE),"")</f>
        <v>653</v>
      </c>
      <c r="H653" s="50" t="str">
        <f>IFERROR(INDEX(NameStudent,MATCH(ROWS($H$1:$H653),Index,0)),"")</f>
        <v>Ошоров Саян Кимович;6-19Р174/2019;;№6</v>
      </c>
    </row>
    <row r="654" spans="1:8" ht="16.149999999999999" customHeight="1" x14ac:dyDescent="0.2">
      <c r="A654" s="72"/>
      <c r="B654" s="73" t="s">
        <v>1364</v>
      </c>
      <c r="C654" s="71" t="s">
        <v>1365</v>
      </c>
      <c r="D654" s="73" t="s">
        <v>55</v>
      </c>
      <c r="E654" s="50" t="str">
        <f t="shared" si="20"/>
        <v>Партола Денис Алексеевич;6-19Р065/2019;;№6</v>
      </c>
      <c r="F654" s="50" t="b">
        <f t="shared" si="21"/>
        <v>1</v>
      </c>
      <c r="G654" s="50">
        <f>IF($F654,COUNTIF($F$1:$F654,TRUE),"")</f>
        <v>654</v>
      </c>
      <c r="H654" s="50" t="str">
        <f>IFERROR(INDEX(NameStudent,MATCH(ROWS($H$1:$H654),Index,0)),"")</f>
        <v>Партола Денис Алексеевич;6-19Р065/2019;;№6</v>
      </c>
    </row>
    <row r="655" spans="1:8" ht="16.149999999999999" customHeight="1" x14ac:dyDescent="0.2">
      <c r="A655" s="72"/>
      <c r="B655" s="73" t="s">
        <v>1366</v>
      </c>
      <c r="C655" s="71" t="s">
        <v>1367</v>
      </c>
      <c r="D655" s="73" t="s">
        <v>55</v>
      </c>
      <c r="E655" s="50" t="str">
        <f t="shared" si="20"/>
        <v>Полякова Алиса Андреевна;6-19Р066/2019;;№6</v>
      </c>
      <c r="F655" s="50" t="b">
        <f t="shared" si="21"/>
        <v>1</v>
      </c>
      <c r="G655" s="50">
        <f>IF($F655,COUNTIF($F$1:$F655,TRUE),"")</f>
        <v>655</v>
      </c>
      <c r="H655" s="50" t="str">
        <f>IFERROR(INDEX(NameStudent,MATCH(ROWS($H$1:$H655),Index,0)),"")</f>
        <v>Полякова Алиса Андреевна;6-19Р066/2019;;№6</v>
      </c>
    </row>
    <row r="656" spans="1:8" ht="16.149999999999999" customHeight="1" x14ac:dyDescent="0.2">
      <c r="A656" s="72"/>
      <c r="B656" s="73" t="s">
        <v>1368</v>
      </c>
      <c r="C656" s="71" t="s">
        <v>1369</v>
      </c>
      <c r="D656" s="73" t="s">
        <v>55</v>
      </c>
      <c r="E656" s="50" t="str">
        <f t="shared" si="20"/>
        <v>Поремов Евгений Сергеевич;6-19Р016/2019;;№6</v>
      </c>
      <c r="F656" s="50" t="b">
        <f t="shared" si="21"/>
        <v>1</v>
      </c>
      <c r="G656" s="50">
        <f>IF($F656,COUNTIF($F$1:$F656,TRUE),"")</f>
        <v>656</v>
      </c>
      <c r="H656" s="50" t="str">
        <f>IFERROR(INDEX(NameStudent,MATCH(ROWS($H$1:$H656),Index,0)),"")</f>
        <v>Поремов Евгений Сергеевич;6-19Р016/2019;;№6</v>
      </c>
    </row>
    <row r="657" spans="1:8" ht="16.149999999999999" customHeight="1" x14ac:dyDescent="0.2">
      <c r="A657" s="72"/>
      <c r="B657" s="73" t="s">
        <v>1370</v>
      </c>
      <c r="C657" s="71" t="s">
        <v>1371</v>
      </c>
      <c r="D657" s="73" t="s">
        <v>55</v>
      </c>
      <c r="E657" s="50" t="str">
        <f t="shared" si="20"/>
        <v>Почечуев Виктор Андреевич;6-19Р100/2019;;№6</v>
      </c>
      <c r="F657" s="50" t="b">
        <f t="shared" si="21"/>
        <v>1</v>
      </c>
      <c r="G657" s="50">
        <f>IF($F657,COUNTIF($F$1:$F657,TRUE),"")</f>
        <v>657</v>
      </c>
      <c r="H657" s="50" t="str">
        <f>IFERROR(INDEX(NameStudent,MATCH(ROWS($H$1:$H657),Index,0)),"")</f>
        <v>Почечуев Виктор Андреевич;6-19Р100/2019;;№6</v>
      </c>
    </row>
    <row r="658" spans="1:8" ht="16.149999999999999" customHeight="1" x14ac:dyDescent="0.2">
      <c r="A658" s="72"/>
      <c r="B658" s="73" t="s">
        <v>1372</v>
      </c>
      <c r="C658" s="71" t="s">
        <v>1373</v>
      </c>
      <c r="D658" s="73" t="s">
        <v>55</v>
      </c>
      <c r="E658" s="50" t="str">
        <f t="shared" si="20"/>
        <v>Ратанова Ксения Владимировна;6-19Р102/2019;;№6</v>
      </c>
      <c r="F658" s="50" t="b">
        <f t="shared" si="21"/>
        <v>1</v>
      </c>
      <c r="G658" s="50">
        <f>IF($F658,COUNTIF($F$1:$F658,TRUE),"")</f>
        <v>658</v>
      </c>
      <c r="H658" s="50" t="str">
        <f>IFERROR(INDEX(NameStudent,MATCH(ROWS($H$1:$H658),Index,0)),"")</f>
        <v>Ратанова Ксения Владимировна;6-19Р102/2019;;№6</v>
      </c>
    </row>
    <row r="659" spans="1:8" ht="16.149999999999999" customHeight="1" x14ac:dyDescent="0.2">
      <c r="A659" s="72"/>
      <c r="B659" s="73" t="s">
        <v>1374</v>
      </c>
      <c r="C659" s="71" t="s">
        <v>1375</v>
      </c>
      <c r="D659" s="73" t="s">
        <v>55</v>
      </c>
      <c r="E659" s="50" t="str">
        <f t="shared" si="20"/>
        <v>Рахматуллин Данил Дмитриевич;6-19Р175/2019;;№6</v>
      </c>
      <c r="F659" s="50" t="b">
        <f t="shared" si="21"/>
        <v>1</v>
      </c>
      <c r="G659" s="50">
        <f>IF($F659,COUNTIF($F$1:$F659,TRUE),"")</f>
        <v>659</v>
      </c>
      <c r="H659" s="50" t="str">
        <f>IFERROR(INDEX(NameStudent,MATCH(ROWS($H$1:$H659),Index,0)),"")</f>
        <v>Рахматуллин Данил Дмитриевич;6-19Р175/2019;;№6</v>
      </c>
    </row>
    <row r="660" spans="1:8" ht="16.149999999999999" customHeight="1" x14ac:dyDescent="0.2">
      <c r="A660" s="72"/>
      <c r="B660" s="73" t="s">
        <v>1376</v>
      </c>
      <c r="C660" s="71" t="s">
        <v>1377</v>
      </c>
      <c r="D660" s="73" t="s">
        <v>55</v>
      </c>
      <c r="E660" s="50" t="str">
        <f t="shared" si="20"/>
        <v>Рыбалко Никита Сергеевич;6-19Р103/2019;;№6</v>
      </c>
      <c r="F660" s="50" t="b">
        <f t="shared" si="21"/>
        <v>1</v>
      </c>
      <c r="G660" s="50">
        <f>IF($F660,COUNTIF($F$1:$F660,TRUE),"")</f>
        <v>660</v>
      </c>
      <c r="H660" s="50" t="str">
        <f>IFERROR(INDEX(NameStudent,MATCH(ROWS($H$1:$H660),Index,0)),"")</f>
        <v>Рыбалко Никита Сергеевич;6-19Р103/2019;;№6</v>
      </c>
    </row>
    <row r="661" spans="1:8" ht="16.149999999999999" customHeight="1" x14ac:dyDescent="0.2">
      <c r="A661" s="72"/>
      <c r="B661" s="73" t="s">
        <v>1378</v>
      </c>
      <c r="C661" s="71" t="s">
        <v>1379</v>
      </c>
      <c r="D661" s="73" t="s">
        <v>55</v>
      </c>
      <c r="E661" s="50" t="str">
        <f t="shared" si="20"/>
        <v>Савостьянов Василий Александрович;6-19Р067/2019;;№6</v>
      </c>
      <c r="F661" s="50" t="b">
        <f t="shared" si="21"/>
        <v>1</v>
      </c>
      <c r="G661" s="50">
        <f>IF($F661,COUNTIF($F$1:$F661,TRUE),"")</f>
        <v>661</v>
      </c>
      <c r="H661" s="50" t="str">
        <f>IFERROR(INDEX(NameStudent,MATCH(ROWS($H$1:$H661),Index,0)),"")</f>
        <v>Савостьянов Василий Александрович;6-19Р067/2019;;№6</v>
      </c>
    </row>
    <row r="662" spans="1:8" ht="16.149999999999999" customHeight="1" x14ac:dyDescent="0.2">
      <c r="A662" s="72"/>
      <c r="B662" s="73" t="s">
        <v>1380</v>
      </c>
      <c r="C662" s="71" t="s">
        <v>1381</v>
      </c>
      <c r="D662" s="73" t="s">
        <v>55</v>
      </c>
      <c r="E662" s="50" t="str">
        <f t="shared" si="20"/>
        <v>Самойлов Арсений Альбертович;6-19Р127/2019;;№6</v>
      </c>
      <c r="F662" s="50" t="b">
        <f t="shared" si="21"/>
        <v>1</v>
      </c>
      <c r="G662" s="50">
        <f>IF($F662,COUNTIF($F$1:$F662,TRUE),"")</f>
        <v>662</v>
      </c>
      <c r="H662" s="50" t="str">
        <f>IFERROR(INDEX(NameStudent,MATCH(ROWS($H$1:$H662),Index,0)),"")</f>
        <v>Самойлов Арсений Альбертович;6-19Р127/2019;;№6</v>
      </c>
    </row>
    <row r="663" spans="1:8" ht="16.149999999999999" customHeight="1" x14ac:dyDescent="0.2">
      <c r="A663" s="72"/>
      <c r="B663" s="73" t="s">
        <v>1382</v>
      </c>
      <c r="C663" s="71" t="s">
        <v>1383</v>
      </c>
      <c r="D663" s="73" t="s">
        <v>55</v>
      </c>
      <c r="E663" s="50" t="str">
        <f t="shared" si="20"/>
        <v>Семченок Всеволод Владимирович;6-19Р034/2019;;№6</v>
      </c>
      <c r="F663" s="50" t="b">
        <f t="shared" si="21"/>
        <v>1</v>
      </c>
      <c r="G663" s="50">
        <f>IF($F663,COUNTIF($F$1:$F663,TRUE),"")</f>
        <v>663</v>
      </c>
      <c r="H663" s="50" t="str">
        <f>IFERROR(INDEX(NameStudent,MATCH(ROWS($H$1:$H663),Index,0)),"")</f>
        <v>Семченок Всеволод Владимирович;6-19Р034/2019;;№6</v>
      </c>
    </row>
    <row r="664" spans="1:8" ht="16.149999999999999" customHeight="1" x14ac:dyDescent="0.2">
      <c r="A664" s="72"/>
      <c r="B664" s="73" t="s">
        <v>1384</v>
      </c>
      <c r="C664" s="71" t="s">
        <v>1385</v>
      </c>
      <c r="D664" s="73" t="s">
        <v>55</v>
      </c>
      <c r="E664" s="50" t="str">
        <f t="shared" si="20"/>
        <v>Смирнов Дмитрий Александрович;6-19Р020/2019;;№6</v>
      </c>
      <c r="F664" s="50" t="b">
        <f t="shared" si="21"/>
        <v>1</v>
      </c>
      <c r="G664" s="50">
        <f>IF($F664,COUNTIF($F$1:$F664,TRUE),"")</f>
        <v>664</v>
      </c>
      <c r="H664" s="50" t="str">
        <f>IFERROR(INDEX(NameStudent,MATCH(ROWS($H$1:$H664),Index,0)),"")</f>
        <v>Смирнов Дмитрий Александрович;6-19Р020/2019;;№6</v>
      </c>
    </row>
    <row r="665" spans="1:8" ht="16.149999999999999" customHeight="1" x14ac:dyDescent="0.2">
      <c r="A665" s="72"/>
      <c r="B665" s="73" t="s">
        <v>1386</v>
      </c>
      <c r="C665" s="71" t="s">
        <v>1387</v>
      </c>
      <c r="D665" s="73" t="s">
        <v>55</v>
      </c>
      <c r="E665" s="50" t="str">
        <f t="shared" si="20"/>
        <v>Смирнова Дарья Вадимовна;6-19Р070/2019;;№6</v>
      </c>
      <c r="F665" s="50" t="b">
        <f t="shared" si="21"/>
        <v>1</v>
      </c>
      <c r="G665" s="50">
        <f>IF($F665,COUNTIF($F$1:$F665,TRUE),"")</f>
        <v>665</v>
      </c>
      <c r="H665" s="50" t="str">
        <f>IFERROR(INDEX(NameStudent,MATCH(ROWS($H$1:$H665),Index,0)),"")</f>
        <v>Смирнова Дарья Вадимовна;6-19Р070/2019;;№6</v>
      </c>
    </row>
    <row r="666" spans="1:8" ht="16.149999999999999" customHeight="1" x14ac:dyDescent="0.2">
      <c r="A666" s="72"/>
      <c r="B666" s="73" t="s">
        <v>1388</v>
      </c>
      <c r="C666" s="71" t="s">
        <v>1389</v>
      </c>
      <c r="D666" s="73" t="s">
        <v>55</v>
      </c>
      <c r="E666" s="50" t="str">
        <f t="shared" si="20"/>
        <v>Степанов Никита Николаевич;6-19Р167/2019;;№6</v>
      </c>
      <c r="F666" s="50" t="b">
        <f t="shared" si="21"/>
        <v>1</v>
      </c>
      <c r="G666" s="50">
        <f>IF($F666,COUNTIF($F$1:$F666,TRUE),"")</f>
        <v>666</v>
      </c>
      <c r="H666" s="50" t="str">
        <f>IFERROR(INDEX(NameStudent,MATCH(ROWS($H$1:$H666),Index,0)),"")</f>
        <v>Степанов Никита Николаевич;6-19Р167/2019;;№6</v>
      </c>
    </row>
    <row r="667" spans="1:8" ht="16.149999999999999" customHeight="1" x14ac:dyDescent="0.2">
      <c r="A667" s="72"/>
      <c r="B667" s="73" t="s">
        <v>1390</v>
      </c>
      <c r="C667" s="71" t="s">
        <v>1391</v>
      </c>
      <c r="D667" s="73" t="s">
        <v>55</v>
      </c>
      <c r="E667" s="50" t="str">
        <f t="shared" si="20"/>
        <v>Тихомиров Степан Александрович;6-19Р177/2019;;№6</v>
      </c>
      <c r="F667" s="50" t="b">
        <f t="shared" si="21"/>
        <v>1</v>
      </c>
      <c r="G667" s="50">
        <f>IF($F667,COUNTIF($F$1:$F667,TRUE),"")</f>
        <v>667</v>
      </c>
      <c r="H667" s="50" t="str">
        <f>IFERROR(INDEX(NameStudent,MATCH(ROWS($H$1:$H667),Index,0)),"")</f>
        <v>Тихомиров Степан Александрович;6-19Р177/2019;;№6</v>
      </c>
    </row>
    <row r="668" spans="1:8" ht="16.149999999999999" customHeight="1" x14ac:dyDescent="0.2">
      <c r="A668" s="72"/>
      <c r="B668" s="73" t="s">
        <v>1392</v>
      </c>
      <c r="C668" s="71" t="s">
        <v>1393</v>
      </c>
      <c r="D668" s="73" t="s">
        <v>55</v>
      </c>
      <c r="E668" s="50" t="str">
        <f t="shared" si="20"/>
        <v>Товкань Василина Андреевна;6-19Р149/2019;;№6</v>
      </c>
      <c r="F668" s="50" t="b">
        <f t="shared" si="21"/>
        <v>1</v>
      </c>
      <c r="G668" s="50">
        <f>IF($F668,COUNTIF($F$1:$F668,TRUE),"")</f>
        <v>668</v>
      </c>
      <c r="H668" s="50" t="str">
        <f>IFERROR(INDEX(NameStudent,MATCH(ROWS($H$1:$H668),Index,0)),"")</f>
        <v>Товкань Василина Андреевна;6-19Р149/2019;;№6</v>
      </c>
    </row>
    <row r="669" spans="1:8" ht="16.149999999999999" customHeight="1" x14ac:dyDescent="0.2">
      <c r="A669" s="72"/>
      <c r="B669" s="73" t="s">
        <v>1394</v>
      </c>
      <c r="C669" s="71" t="s">
        <v>1395</v>
      </c>
      <c r="D669" s="73" t="s">
        <v>55</v>
      </c>
      <c r="E669" s="50" t="str">
        <f t="shared" si="20"/>
        <v>Фархутдинова Карина Ильдаровна;6-19Р104/2019;;№6</v>
      </c>
      <c r="F669" s="50" t="b">
        <f t="shared" si="21"/>
        <v>1</v>
      </c>
      <c r="G669" s="50">
        <f>IF($F669,COUNTIF($F$1:$F669,TRUE),"")</f>
        <v>669</v>
      </c>
      <c r="H669" s="50" t="str">
        <f>IFERROR(INDEX(NameStudent,MATCH(ROWS($H$1:$H669),Index,0)),"")</f>
        <v>Фархутдинова Карина Ильдаровна;6-19Р104/2019;;№6</v>
      </c>
    </row>
    <row r="670" spans="1:8" ht="16.149999999999999" customHeight="1" x14ac:dyDescent="0.2">
      <c r="A670" s="72"/>
      <c r="B670" s="73" t="s">
        <v>1396</v>
      </c>
      <c r="C670" s="71" t="s">
        <v>1397</v>
      </c>
      <c r="D670" s="73" t="s">
        <v>55</v>
      </c>
      <c r="E670" s="50" t="str">
        <f t="shared" si="20"/>
        <v>Фролов Вальдемар Дмитриевич;6-19Р035/2019;;№6</v>
      </c>
      <c r="F670" s="50" t="b">
        <f t="shared" si="21"/>
        <v>1</v>
      </c>
      <c r="G670" s="50">
        <f>IF($F670,COUNTIF($F$1:$F670,TRUE),"")</f>
        <v>670</v>
      </c>
      <c r="H670" s="50" t="str">
        <f>IFERROR(INDEX(NameStudent,MATCH(ROWS($H$1:$H670),Index,0)),"")</f>
        <v>Фролов Вальдемар Дмитриевич;6-19Р035/2019;;№6</v>
      </c>
    </row>
    <row r="671" spans="1:8" ht="16.149999999999999" customHeight="1" x14ac:dyDescent="0.2">
      <c r="A671" s="72"/>
      <c r="B671" s="73" t="s">
        <v>1398</v>
      </c>
      <c r="C671" s="71" t="s">
        <v>1399</v>
      </c>
      <c r="D671" s="73" t="s">
        <v>55</v>
      </c>
      <c r="E671" s="50" t="str">
        <f t="shared" si="20"/>
        <v>Чернышов Сергей Андреевич;6-19Р071/2019;;№6</v>
      </c>
      <c r="F671" s="50" t="b">
        <f t="shared" si="21"/>
        <v>1</v>
      </c>
      <c r="G671" s="50">
        <f>IF($F671,COUNTIF($F$1:$F671,TRUE),"")</f>
        <v>671</v>
      </c>
      <c r="H671" s="50" t="str">
        <f>IFERROR(INDEX(NameStudent,MATCH(ROWS($H$1:$H671),Index,0)),"")</f>
        <v>Чернышов Сергей Андреевич;6-19Р071/2019;;№6</v>
      </c>
    </row>
    <row r="672" spans="1:8" ht="16.149999999999999" customHeight="1" x14ac:dyDescent="0.2">
      <c r="A672" s="72"/>
      <c r="B672" s="73" t="s">
        <v>1400</v>
      </c>
      <c r="C672" s="71" t="s">
        <v>1401</v>
      </c>
      <c r="D672" s="73" t="s">
        <v>55</v>
      </c>
      <c r="E672" s="50" t="str">
        <f t="shared" si="20"/>
        <v>Чуприн Артем Александрович;6-19Р072/2019;;№6</v>
      </c>
      <c r="F672" s="50" t="b">
        <f t="shared" si="21"/>
        <v>1</v>
      </c>
      <c r="G672" s="50">
        <f>IF($F672,COUNTIF($F$1:$F672,TRUE),"")</f>
        <v>672</v>
      </c>
      <c r="H672" s="50" t="str">
        <f>IFERROR(INDEX(NameStudent,MATCH(ROWS($H$1:$H672),Index,0)),"")</f>
        <v>Чуприн Артем Александрович;6-19Р072/2019;;№6</v>
      </c>
    </row>
    <row r="673" spans="1:8" ht="16.149999999999999" customHeight="1" x14ac:dyDescent="0.2">
      <c r="A673" s="72"/>
      <c r="B673" s="73" t="s">
        <v>1402</v>
      </c>
      <c r="C673" s="71" t="s">
        <v>1403</v>
      </c>
      <c r="D673" s="73" t="s">
        <v>55</v>
      </c>
      <c r="E673" s="50" t="str">
        <f t="shared" si="20"/>
        <v>Шепелев Александр Михайлович;6-19Р036/2019;;№6</v>
      </c>
      <c r="F673" s="50" t="b">
        <f t="shared" si="21"/>
        <v>1</v>
      </c>
      <c r="G673" s="50">
        <f>IF($F673,COUNTIF($F$1:$F673,TRUE),"")</f>
        <v>673</v>
      </c>
      <c r="H673" s="50" t="str">
        <f>IFERROR(INDEX(NameStudent,MATCH(ROWS($H$1:$H673),Index,0)),"")</f>
        <v>Шепелев Александр Михайлович;6-19Р036/2019;;№6</v>
      </c>
    </row>
    <row r="674" spans="1:8" ht="16.149999999999999" customHeight="1" x14ac:dyDescent="0.2">
      <c r="A674" s="72"/>
      <c r="B674" s="73" t="s">
        <v>1404</v>
      </c>
      <c r="C674" s="71" t="s">
        <v>1405</v>
      </c>
      <c r="D674" s="73" t="s">
        <v>55</v>
      </c>
      <c r="E674" s="50" t="str">
        <f t="shared" si="20"/>
        <v>Шипелев Антон Андреевич;6-19Р132/2019;;№6</v>
      </c>
      <c r="F674" s="50" t="b">
        <f t="shared" si="21"/>
        <v>1</v>
      </c>
      <c r="G674" s="50">
        <f>IF($F674,COUNTIF($F$1:$F674,TRUE),"")</f>
        <v>674</v>
      </c>
      <c r="H674" s="50" t="str">
        <f>IFERROR(INDEX(NameStudent,MATCH(ROWS($H$1:$H674),Index,0)),"")</f>
        <v>Шипелев Антон Андреевич;6-19Р132/2019;;№6</v>
      </c>
    </row>
    <row r="675" spans="1:8" ht="16.149999999999999" customHeight="1" x14ac:dyDescent="0.2">
      <c r="A675" s="72"/>
      <c r="B675" s="73" t="s">
        <v>1406</v>
      </c>
      <c r="C675" s="71" t="s">
        <v>1407</v>
      </c>
      <c r="D675" s="73" t="s">
        <v>55</v>
      </c>
      <c r="E675" s="50" t="str">
        <f t="shared" si="20"/>
        <v>Шишлов Михаил Андреевич;6-19Р074/2019;;№6</v>
      </c>
      <c r="F675" s="50" t="b">
        <f t="shared" si="21"/>
        <v>1</v>
      </c>
      <c r="G675" s="50">
        <f>IF($F675,COUNTIF($F$1:$F675,TRUE),"")</f>
        <v>675</v>
      </c>
      <c r="H675" s="50" t="str">
        <f>IFERROR(INDEX(NameStudent,MATCH(ROWS($H$1:$H675),Index,0)),"")</f>
        <v>Шишлов Михаил Андреевич;6-19Р074/2019;;№6</v>
      </c>
    </row>
    <row r="676" spans="1:8" ht="16.149999999999999" customHeight="1" x14ac:dyDescent="0.2">
      <c r="A676" s="72"/>
      <c r="B676" s="73" t="s">
        <v>1408</v>
      </c>
      <c r="C676" s="71" t="s">
        <v>1409</v>
      </c>
      <c r="D676" s="73" t="s">
        <v>55</v>
      </c>
      <c r="E676" s="50" t="str">
        <f t="shared" si="20"/>
        <v>Щеглов Андрей Сергеевич;6-19Р037/2019;;№6</v>
      </c>
      <c r="F676" s="50" t="b">
        <f t="shared" si="21"/>
        <v>1</v>
      </c>
      <c r="G676" s="50">
        <f>IF($F676,COUNTIF($F$1:$F676,TRUE),"")</f>
        <v>676</v>
      </c>
      <c r="H676" s="50" t="str">
        <f>IFERROR(INDEX(NameStudent,MATCH(ROWS($H$1:$H676),Index,0)),"")</f>
        <v>Щеглов Андрей Сергеевич;6-19Р037/2019;;№6</v>
      </c>
    </row>
    <row r="677" spans="1:8" ht="16.149999999999999" customHeight="1" x14ac:dyDescent="0.2">
      <c r="A677" s="72"/>
      <c r="B677" s="73" t="s">
        <v>1410</v>
      </c>
      <c r="C677" s="71" t="s">
        <v>1411</v>
      </c>
      <c r="D677" s="73" t="s">
        <v>55</v>
      </c>
      <c r="E677" s="50" t="str">
        <f t="shared" si="20"/>
        <v>Эсен Эрай ;6-19Р138/2019;;№6</v>
      </c>
      <c r="F677" s="50" t="b">
        <f t="shared" si="21"/>
        <v>1</v>
      </c>
      <c r="G677" s="50">
        <f>IF($F677,COUNTIF($F$1:$F677,TRUE),"")</f>
        <v>677</v>
      </c>
      <c r="H677" s="50" t="str">
        <f>IFERROR(INDEX(NameStudent,MATCH(ROWS($H$1:$H677),Index,0)),"")</f>
        <v>Эсен Эрай ;6-19Р138/2019;;№6</v>
      </c>
    </row>
    <row r="678" spans="1:8" ht="16.149999999999999" customHeight="1" x14ac:dyDescent="0.2">
      <c r="A678" s="72"/>
      <c r="B678" s="73" t="s">
        <v>1412</v>
      </c>
      <c r="C678" s="71" t="s">
        <v>1413</v>
      </c>
      <c r="D678" s="73" t="s">
        <v>55</v>
      </c>
      <c r="E678" s="50" t="str">
        <f t="shared" si="20"/>
        <v>Азевич Марк Павлович;6-19Р184/2019;;№6</v>
      </c>
      <c r="F678" s="50" t="b">
        <f t="shared" si="21"/>
        <v>1</v>
      </c>
      <c r="G678" s="50">
        <f>IF($F678,COUNTIF($F$1:$F678,TRUE),"")</f>
        <v>678</v>
      </c>
      <c r="H678" s="50" t="str">
        <f>IFERROR(INDEX(NameStudent,MATCH(ROWS($H$1:$H678),Index,0)),"")</f>
        <v>Азевич Марк Павлович;6-19Р184/2019;;№6</v>
      </c>
    </row>
    <row r="679" spans="1:8" ht="16.149999999999999" customHeight="1" x14ac:dyDescent="0.2">
      <c r="A679" s="72"/>
      <c r="B679" s="73" t="s">
        <v>1414</v>
      </c>
      <c r="C679" s="71" t="s">
        <v>1415</v>
      </c>
      <c r="D679" s="73" t="s">
        <v>55</v>
      </c>
      <c r="E679" s="50" t="str">
        <f t="shared" si="20"/>
        <v>Аллахвердиев Джейхун Али оглы;6-19Р209/2019;;№6</v>
      </c>
      <c r="F679" s="50" t="b">
        <f t="shared" si="21"/>
        <v>1</v>
      </c>
      <c r="G679" s="50">
        <f>IF($F679,COUNTIF($F$1:$F679,TRUE),"")</f>
        <v>679</v>
      </c>
      <c r="H679" s="50" t="str">
        <f>IFERROR(INDEX(NameStudent,MATCH(ROWS($H$1:$H679),Index,0)),"")</f>
        <v>Аллахвердиев Джейхун Али оглы;6-19Р209/2019;;№6</v>
      </c>
    </row>
    <row r="680" spans="1:8" ht="16.149999999999999" customHeight="1" x14ac:dyDescent="0.2">
      <c r="A680" s="72"/>
      <c r="B680" s="73" t="s">
        <v>1416</v>
      </c>
      <c r="C680" s="71" t="s">
        <v>1417</v>
      </c>
      <c r="D680" s="73" t="s">
        <v>55</v>
      </c>
      <c r="E680" s="50" t="str">
        <f t="shared" si="20"/>
        <v>Аушев Муслим Магометович;6-19Р212/2019;;№6</v>
      </c>
      <c r="F680" s="50" t="b">
        <f t="shared" si="21"/>
        <v>1</v>
      </c>
      <c r="G680" s="50">
        <f>IF($F680,COUNTIF($F$1:$F680,TRUE),"")</f>
        <v>680</v>
      </c>
      <c r="H680" s="50" t="str">
        <f>IFERROR(INDEX(NameStudent,MATCH(ROWS($H$1:$H680),Index,0)),"")</f>
        <v>Аушев Муслим Магометович;6-19Р212/2019;;№6</v>
      </c>
    </row>
    <row r="681" spans="1:8" ht="16.149999999999999" customHeight="1" x14ac:dyDescent="0.2">
      <c r="A681" s="72"/>
      <c r="B681" s="73" t="s">
        <v>1418</v>
      </c>
      <c r="C681" s="71" t="s">
        <v>1419</v>
      </c>
      <c r="D681" s="73" t="s">
        <v>55</v>
      </c>
      <c r="E681" s="50" t="str">
        <f t="shared" si="20"/>
        <v>Бровкин Василий Васильевич;6-19Р217/2019;;№6</v>
      </c>
      <c r="F681" s="50" t="b">
        <f t="shared" si="21"/>
        <v>1</v>
      </c>
      <c r="G681" s="50">
        <f>IF($F681,COUNTIF($F$1:$F681,TRUE),"")</f>
        <v>681</v>
      </c>
      <c r="H681" s="50" t="str">
        <f>IFERROR(INDEX(NameStudent,MATCH(ROWS($H$1:$H681),Index,0)),"")</f>
        <v>Бровкин Василий Васильевич;6-19Р217/2019;;№6</v>
      </c>
    </row>
    <row r="682" spans="1:8" ht="16.149999999999999" customHeight="1" x14ac:dyDescent="0.2">
      <c r="A682" s="72"/>
      <c r="B682" s="73" t="s">
        <v>1420</v>
      </c>
      <c r="C682" s="71" t="s">
        <v>1421</v>
      </c>
      <c r="D682" s="73" t="s">
        <v>55</v>
      </c>
      <c r="E682" s="50" t="str">
        <f t="shared" si="20"/>
        <v>Бурангулов Никита Сергеевич;6-19Р180/2019;;№6</v>
      </c>
      <c r="F682" s="50" t="b">
        <f t="shared" si="21"/>
        <v>1</v>
      </c>
      <c r="G682" s="50">
        <f>IF($F682,COUNTIF($F$1:$F682,TRUE),"")</f>
        <v>682</v>
      </c>
      <c r="H682" s="50" t="str">
        <f>IFERROR(INDEX(NameStudent,MATCH(ROWS($H$1:$H682),Index,0)),"")</f>
        <v>Бурангулов Никита Сергеевич;6-19Р180/2019;;№6</v>
      </c>
    </row>
    <row r="683" spans="1:8" ht="16.149999999999999" customHeight="1" x14ac:dyDescent="0.2">
      <c r="A683" s="72"/>
      <c r="B683" s="73" t="s">
        <v>1422</v>
      </c>
      <c r="C683" s="71" t="s">
        <v>1423</v>
      </c>
      <c r="D683" s="73" t="s">
        <v>55</v>
      </c>
      <c r="E683" s="50" t="str">
        <f t="shared" si="20"/>
        <v>Васильев Михаил Евгеньевич;6-19Р185/2019;;№6</v>
      </c>
      <c r="F683" s="50" t="b">
        <f t="shared" si="21"/>
        <v>1</v>
      </c>
      <c r="G683" s="50">
        <f>IF($F683,COUNTIF($F$1:$F683,TRUE),"")</f>
        <v>683</v>
      </c>
      <c r="H683" s="50" t="str">
        <f>IFERROR(INDEX(NameStudent,MATCH(ROWS($H$1:$H683),Index,0)),"")</f>
        <v>Васильев Михаил Евгеньевич;6-19Р185/2019;;№6</v>
      </c>
    </row>
    <row r="684" spans="1:8" ht="16.149999999999999" customHeight="1" x14ac:dyDescent="0.2">
      <c r="A684" s="72"/>
      <c r="B684" s="73" t="s">
        <v>1424</v>
      </c>
      <c r="C684" s="71" t="s">
        <v>1425</v>
      </c>
      <c r="D684" s="73" t="s">
        <v>55</v>
      </c>
      <c r="E684" s="50" t="str">
        <f t="shared" si="20"/>
        <v>Ватутин Илья Андреевич;6-19Р220/2019;;№6</v>
      </c>
      <c r="F684" s="50" t="b">
        <f t="shared" si="21"/>
        <v>1</v>
      </c>
      <c r="G684" s="50">
        <f>IF($F684,COUNTIF($F$1:$F684,TRUE),"")</f>
        <v>684</v>
      </c>
      <c r="H684" s="50" t="str">
        <f>IFERROR(INDEX(NameStudent,MATCH(ROWS($H$1:$H684),Index,0)),"")</f>
        <v>Ватутин Илья Андреевич;6-19Р220/2019;;№6</v>
      </c>
    </row>
    <row r="685" spans="1:8" ht="16.149999999999999" customHeight="1" x14ac:dyDescent="0.2">
      <c r="A685" s="72"/>
      <c r="B685" s="73" t="s">
        <v>1426</v>
      </c>
      <c r="C685" s="71" t="s">
        <v>1427</v>
      </c>
      <c r="D685" s="73" t="s">
        <v>55</v>
      </c>
      <c r="E685" s="50" t="str">
        <f t="shared" si="20"/>
        <v>Габбасов Асылхан Каирболатулы;6-19Р179/2019;;№6</v>
      </c>
      <c r="F685" s="50" t="b">
        <f t="shared" si="21"/>
        <v>1</v>
      </c>
      <c r="G685" s="50">
        <f>IF($F685,COUNTIF($F$1:$F685,TRUE),"")</f>
        <v>685</v>
      </c>
      <c r="H685" s="50" t="str">
        <f>IFERROR(INDEX(NameStudent,MATCH(ROWS($H$1:$H685),Index,0)),"")</f>
        <v>Габбасов Асылхан Каирболатулы;6-19Р179/2019;;№6</v>
      </c>
    </row>
    <row r="686" spans="1:8" ht="16.149999999999999" customHeight="1" x14ac:dyDescent="0.2">
      <c r="A686" s="72"/>
      <c r="B686" s="73" t="s">
        <v>1428</v>
      </c>
      <c r="C686" s="71" t="s">
        <v>1429</v>
      </c>
      <c r="D686" s="73" t="s">
        <v>55</v>
      </c>
      <c r="E686" s="50" t="str">
        <f t="shared" si="20"/>
        <v>Горожанкин Захар Владимирович;6-19Р181/2019;;№6</v>
      </c>
      <c r="F686" s="50" t="b">
        <f t="shared" si="21"/>
        <v>1</v>
      </c>
      <c r="G686" s="50">
        <f>IF($F686,COUNTIF($F$1:$F686,TRUE),"")</f>
        <v>686</v>
      </c>
      <c r="H686" s="50" t="str">
        <f>IFERROR(INDEX(NameStudent,MATCH(ROWS($H$1:$H686),Index,0)),"")</f>
        <v>Горожанкин Захар Владимирович;6-19Р181/2019;;№6</v>
      </c>
    </row>
    <row r="687" spans="1:8" ht="16.149999999999999" customHeight="1" x14ac:dyDescent="0.2">
      <c r="A687" s="72"/>
      <c r="B687" s="73" t="s">
        <v>1430</v>
      </c>
      <c r="C687" s="71" t="s">
        <v>1431</v>
      </c>
      <c r="D687" s="73" t="s">
        <v>55</v>
      </c>
      <c r="E687" s="50" t="str">
        <f t="shared" si="20"/>
        <v>Давлетбердина Лейсан Ильфатовна;6-19Р190/2019;;№6</v>
      </c>
      <c r="F687" s="50" t="b">
        <f t="shared" si="21"/>
        <v>1</v>
      </c>
      <c r="G687" s="50">
        <f>IF($F687,COUNTIF($F$1:$F687,TRUE),"")</f>
        <v>687</v>
      </c>
      <c r="H687" s="50" t="str">
        <f>IFERROR(INDEX(NameStudent,MATCH(ROWS($H$1:$H687),Index,0)),"")</f>
        <v>Давлетбердина Лейсан Ильфатовна;6-19Р190/2019;;№6</v>
      </c>
    </row>
    <row r="688" spans="1:8" ht="16.149999999999999" customHeight="1" x14ac:dyDescent="0.2">
      <c r="A688" s="72"/>
      <c r="B688" s="73" t="s">
        <v>1432</v>
      </c>
      <c r="C688" s="71" t="s">
        <v>1433</v>
      </c>
      <c r="D688" s="73" t="s">
        <v>55</v>
      </c>
      <c r="E688" s="50" t="str">
        <f t="shared" si="20"/>
        <v>Дунайцев Александр Иванович;6-19Р229/2019;;№6</v>
      </c>
      <c r="F688" s="50" t="b">
        <f t="shared" si="21"/>
        <v>1</v>
      </c>
      <c r="G688" s="50">
        <f>IF($F688,COUNTIF($F$1:$F688,TRUE),"")</f>
        <v>688</v>
      </c>
      <c r="H688" s="50" t="str">
        <f>IFERROR(INDEX(NameStudent,MATCH(ROWS($H$1:$H688),Index,0)),"")</f>
        <v>Дунайцев Александр Иванович;6-19Р229/2019;;№6</v>
      </c>
    </row>
    <row r="689" spans="1:8" ht="16.149999999999999" customHeight="1" x14ac:dyDescent="0.2">
      <c r="A689" s="72"/>
      <c r="B689" s="73" t="s">
        <v>1434</v>
      </c>
      <c r="C689" s="71" t="s">
        <v>1435</v>
      </c>
      <c r="D689" s="73" t="s">
        <v>55</v>
      </c>
      <c r="E689" s="50" t="str">
        <f t="shared" si="20"/>
        <v>Егоршин Матвей Ильич;6-19Р230/2019;;№6</v>
      </c>
      <c r="F689" s="50" t="b">
        <f t="shared" si="21"/>
        <v>1</v>
      </c>
      <c r="G689" s="50">
        <f>IF($F689,COUNTIF($F$1:$F689,TRUE),"")</f>
        <v>689</v>
      </c>
      <c r="H689" s="50" t="str">
        <f>IFERROR(INDEX(NameStudent,MATCH(ROWS($H$1:$H689),Index,0)),"")</f>
        <v>Егоршин Матвей Ильич;6-19Р230/2019;;№6</v>
      </c>
    </row>
    <row r="690" spans="1:8" ht="16.149999999999999" customHeight="1" x14ac:dyDescent="0.2">
      <c r="A690" s="72"/>
      <c r="B690" s="73" t="s">
        <v>1436</v>
      </c>
      <c r="C690" s="71" t="s">
        <v>1437</v>
      </c>
      <c r="D690" s="73" t="s">
        <v>55</v>
      </c>
      <c r="E690" s="50" t="str">
        <f t="shared" si="20"/>
        <v>Ерошина Дарья Павловна;6-19Р232/2019;;№6</v>
      </c>
      <c r="F690" s="50" t="b">
        <f t="shared" si="21"/>
        <v>1</v>
      </c>
      <c r="G690" s="50">
        <f>IF($F690,COUNTIF($F$1:$F690,TRUE),"")</f>
        <v>690</v>
      </c>
      <c r="H690" s="50" t="str">
        <f>IFERROR(INDEX(NameStudent,MATCH(ROWS($H$1:$H690),Index,0)),"")</f>
        <v>Ерошина Дарья Павловна;6-19Р232/2019;;№6</v>
      </c>
    </row>
    <row r="691" spans="1:8" ht="16.149999999999999" customHeight="1" x14ac:dyDescent="0.2">
      <c r="A691" s="72"/>
      <c r="B691" s="73" t="s">
        <v>1438</v>
      </c>
      <c r="C691" s="71" t="s">
        <v>1439</v>
      </c>
      <c r="D691" s="73" t="s">
        <v>55</v>
      </c>
      <c r="E691" s="50" t="str">
        <f t="shared" si="20"/>
        <v>Згерский Илья Евгеньевич;6-19Р191/2019;;№6</v>
      </c>
      <c r="F691" s="50" t="b">
        <f t="shared" si="21"/>
        <v>1</v>
      </c>
      <c r="G691" s="50">
        <f>IF($F691,COUNTIF($F$1:$F691,TRUE),"")</f>
        <v>691</v>
      </c>
      <c r="H691" s="50" t="str">
        <f>IFERROR(INDEX(NameStudent,MATCH(ROWS($H$1:$H691),Index,0)),"")</f>
        <v>Згерский Илья Евгеньевич;6-19Р191/2019;;№6</v>
      </c>
    </row>
    <row r="692" spans="1:8" ht="16.149999999999999" customHeight="1" x14ac:dyDescent="0.2">
      <c r="A692" s="72"/>
      <c r="B692" s="73" t="s">
        <v>1440</v>
      </c>
      <c r="C692" s="71" t="s">
        <v>1441</v>
      </c>
      <c r="D692" s="73" t="s">
        <v>55</v>
      </c>
      <c r="E692" s="50" t="str">
        <f t="shared" si="20"/>
        <v>Кипоть Данила Вадимович;6-19Р236/2019;;№6</v>
      </c>
      <c r="F692" s="50" t="b">
        <f t="shared" si="21"/>
        <v>1</v>
      </c>
      <c r="G692" s="50">
        <f>IF($F692,COUNTIF($F$1:$F692,TRUE),"")</f>
        <v>692</v>
      </c>
      <c r="H692" s="50" t="str">
        <f>IFERROR(INDEX(NameStudent,MATCH(ROWS($H$1:$H692),Index,0)),"")</f>
        <v>Кипоть Данила Вадимович;6-19Р236/2019;;№6</v>
      </c>
    </row>
    <row r="693" spans="1:8" ht="16.149999999999999" customHeight="1" x14ac:dyDescent="0.2">
      <c r="A693" s="72"/>
      <c r="B693" s="73" t="s">
        <v>1442</v>
      </c>
      <c r="C693" s="71" t="s">
        <v>1443</v>
      </c>
      <c r="D693" s="73" t="s">
        <v>55</v>
      </c>
      <c r="E693" s="50" t="str">
        <f t="shared" si="20"/>
        <v>Куимов Алексей Константинович;6-19Р195/2019;;№6</v>
      </c>
      <c r="F693" s="50" t="b">
        <f t="shared" si="21"/>
        <v>1</v>
      </c>
      <c r="G693" s="50">
        <f>IF($F693,COUNTIF($F$1:$F693,TRUE),"")</f>
        <v>693</v>
      </c>
      <c r="H693" s="50" t="str">
        <f>IFERROR(INDEX(NameStudent,MATCH(ROWS($H$1:$H693),Index,0)),"")</f>
        <v>Куимов Алексей Константинович;6-19Р195/2019;;№6</v>
      </c>
    </row>
    <row r="694" spans="1:8" ht="16.149999999999999" customHeight="1" x14ac:dyDescent="0.2">
      <c r="A694" s="72"/>
      <c r="B694" s="73" t="s">
        <v>1444</v>
      </c>
      <c r="C694" s="71" t="s">
        <v>1445</v>
      </c>
      <c r="D694" s="73" t="s">
        <v>55</v>
      </c>
      <c r="E694" s="50" t="str">
        <f t="shared" si="20"/>
        <v>Никульшин Сергей Александрович;6-19Р249/2019;;№6</v>
      </c>
      <c r="F694" s="50" t="b">
        <f t="shared" si="21"/>
        <v>1</v>
      </c>
      <c r="G694" s="50">
        <f>IF($F694,COUNTIF($F$1:$F694,TRUE),"")</f>
        <v>694</v>
      </c>
      <c r="H694" s="50" t="str">
        <f>IFERROR(INDEX(NameStudent,MATCH(ROWS($H$1:$H694),Index,0)),"")</f>
        <v>Никульшин Сергей Александрович;6-19Р249/2019;;№6</v>
      </c>
    </row>
    <row r="695" spans="1:8" ht="16.149999999999999" customHeight="1" x14ac:dyDescent="0.2">
      <c r="A695" s="72"/>
      <c r="B695" s="73" t="s">
        <v>1446</v>
      </c>
      <c r="C695" s="71" t="s">
        <v>1447</v>
      </c>
      <c r="D695" s="73" t="s">
        <v>55</v>
      </c>
      <c r="E695" s="50" t="str">
        <f t="shared" si="20"/>
        <v>Новицкий Борис Андреевич;6-19Р250/2019;;№6</v>
      </c>
      <c r="F695" s="50" t="b">
        <f t="shared" si="21"/>
        <v>1</v>
      </c>
      <c r="G695" s="50">
        <f>IF($F695,COUNTIF($F$1:$F695,TRUE),"")</f>
        <v>695</v>
      </c>
      <c r="H695" s="50" t="str">
        <f>IFERROR(INDEX(NameStudent,MATCH(ROWS($H$1:$H695),Index,0)),"")</f>
        <v>Новицкий Борис Андреевич;6-19Р250/2019;;№6</v>
      </c>
    </row>
    <row r="696" spans="1:8" ht="16.149999999999999" customHeight="1" x14ac:dyDescent="0.2">
      <c r="A696" s="72"/>
      <c r="B696" s="73" t="s">
        <v>1448</v>
      </c>
      <c r="C696" s="71" t="s">
        <v>1449</v>
      </c>
      <c r="D696" s="73" t="s">
        <v>55</v>
      </c>
      <c r="E696" s="50" t="str">
        <f t="shared" si="20"/>
        <v>Прохоров Владимир Эдуардович;6-19Р199/2019;;№6</v>
      </c>
      <c r="F696" s="50" t="b">
        <f t="shared" si="21"/>
        <v>1</v>
      </c>
      <c r="G696" s="50">
        <f>IF($F696,COUNTIF($F$1:$F696,TRUE),"")</f>
        <v>696</v>
      </c>
      <c r="H696" s="50" t="str">
        <f>IFERROR(INDEX(NameStudent,MATCH(ROWS($H$1:$H696),Index,0)),"")</f>
        <v>Прохоров Владимир Эдуардович;6-19Р199/2019;;№6</v>
      </c>
    </row>
    <row r="697" spans="1:8" ht="16.149999999999999" customHeight="1" x14ac:dyDescent="0.2">
      <c r="A697" s="72"/>
      <c r="B697" s="73" t="s">
        <v>1450</v>
      </c>
      <c r="C697" s="71" t="s">
        <v>1451</v>
      </c>
      <c r="D697" s="73" t="s">
        <v>55</v>
      </c>
      <c r="E697" s="50" t="str">
        <f t="shared" si="20"/>
        <v>Прохоров Давид Артемович;6-19Р200/2019;;№6</v>
      </c>
      <c r="F697" s="50" t="b">
        <f t="shared" si="21"/>
        <v>1</v>
      </c>
      <c r="G697" s="50">
        <f>IF($F697,COUNTIF($F$1:$F697,TRUE),"")</f>
        <v>697</v>
      </c>
      <c r="H697" s="50" t="str">
        <f>IFERROR(INDEX(NameStudent,MATCH(ROWS($H$1:$H697),Index,0)),"")</f>
        <v>Прохоров Давид Артемович;6-19Р200/2019;;№6</v>
      </c>
    </row>
    <row r="698" spans="1:8" ht="16.149999999999999" customHeight="1" x14ac:dyDescent="0.2">
      <c r="A698" s="72"/>
      <c r="B698" s="73" t="s">
        <v>1452</v>
      </c>
      <c r="C698" s="71" t="s">
        <v>1453</v>
      </c>
      <c r="D698" s="73" t="s">
        <v>55</v>
      </c>
      <c r="E698" s="50" t="str">
        <f t="shared" si="20"/>
        <v>Удовик Иван Андреевич;6-19Р203/2019;;№6</v>
      </c>
      <c r="F698" s="50" t="b">
        <f t="shared" si="21"/>
        <v>1</v>
      </c>
      <c r="G698" s="50">
        <f>IF($F698,COUNTIF($F$1:$F698,TRUE),"")</f>
        <v>698</v>
      </c>
      <c r="H698" s="50" t="str">
        <f>IFERROR(INDEX(NameStudent,MATCH(ROWS($H$1:$H698),Index,0)),"")</f>
        <v>Удовик Иван Андреевич;6-19Р203/2019;;№6</v>
      </c>
    </row>
    <row r="699" spans="1:8" ht="16.149999999999999" customHeight="1" x14ac:dyDescent="0.2">
      <c r="A699" s="72"/>
      <c r="B699" s="73" t="s">
        <v>1454</v>
      </c>
      <c r="C699" s="71" t="s">
        <v>1455</v>
      </c>
      <c r="D699" s="73" t="s">
        <v>55</v>
      </c>
      <c r="E699" s="50" t="str">
        <f t="shared" si="20"/>
        <v>Чернышева Елизавета Андреевна;6-19Р696/2019;;№6</v>
      </c>
      <c r="F699" s="50" t="b">
        <f t="shared" si="21"/>
        <v>1</v>
      </c>
      <c r="G699" s="50">
        <f>IF($F699,COUNTIF($F$1:$F699,TRUE),"")</f>
        <v>699</v>
      </c>
      <c r="H699" s="50" t="str">
        <f>IFERROR(INDEX(NameStudent,MATCH(ROWS($H$1:$H699),Index,0)),"")</f>
        <v>Чернышева Елизавета Андреевна;6-19Р696/2019;;№6</v>
      </c>
    </row>
    <row r="700" spans="1:8" ht="16.149999999999999" customHeight="1" x14ac:dyDescent="0.2">
      <c r="A700" s="72"/>
      <c r="B700" s="73" t="s">
        <v>1456</v>
      </c>
      <c r="C700" s="71" t="s">
        <v>1457</v>
      </c>
      <c r="D700" s="73" t="s">
        <v>55</v>
      </c>
      <c r="E700" s="50" t="str">
        <f t="shared" si="20"/>
        <v>Алексеева Анна  Андреевна;6-19РМ065/2019;;№6</v>
      </c>
      <c r="F700" s="50" t="b">
        <f t="shared" si="21"/>
        <v>1</v>
      </c>
      <c r="G700" s="50">
        <f>IF($F700,COUNTIF($F$1:$F700,TRUE),"")</f>
        <v>700</v>
      </c>
      <c r="H700" s="50" t="str">
        <f>IFERROR(INDEX(NameStudent,MATCH(ROWS($H$1:$H700),Index,0)),"")</f>
        <v>Алексеева Анна  Андреевна;6-19РМ065/2019;;№6</v>
      </c>
    </row>
    <row r="701" spans="1:8" ht="16.149999999999999" customHeight="1" x14ac:dyDescent="0.2">
      <c r="A701" s="72"/>
      <c r="B701" s="73" t="s">
        <v>1458</v>
      </c>
      <c r="C701" s="71" t="s">
        <v>1459</v>
      </c>
      <c r="D701" s="73" t="s">
        <v>55</v>
      </c>
      <c r="E701" s="50" t="str">
        <f t="shared" si="20"/>
        <v>Беленчук Родион  Леонидович;6-19РМ021/2019;;№6</v>
      </c>
      <c r="F701" s="50" t="b">
        <f t="shared" si="21"/>
        <v>1</v>
      </c>
      <c r="G701" s="50">
        <f>IF($F701,COUNTIF($F$1:$F701,TRUE),"")</f>
        <v>701</v>
      </c>
      <c r="H701" s="50" t="str">
        <f>IFERROR(INDEX(NameStudent,MATCH(ROWS($H$1:$H701),Index,0)),"")</f>
        <v>Беленчук Родион  Леонидович;6-19РМ021/2019;;№6</v>
      </c>
    </row>
    <row r="702" spans="1:8" ht="16.149999999999999" customHeight="1" x14ac:dyDescent="0.2">
      <c r="A702" s="72"/>
      <c r="B702" s="73" t="s">
        <v>1460</v>
      </c>
      <c r="C702" s="71" t="s">
        <v>1461</v>
      </c>
      <c r="D702" s="73" t="s">
        <v>55</v>
      </c>
      <c r="E702" s="50" t="str">
        <f t="shared" si="20"/>
        <v>Бирюков Алексей  Сергеевич;6-19РМ066/2019;;№6</v>
      </c>
      <c r="F702" s="50" t="b">
        <f t="shared" si="21"/>
        <v>1</v>
      </c>
      <c r="G702" s="50">
        <f>IF($F702,COUNTIF($F$1:$F702,TRUE),"")</f>
        <v>702</v>
      </c>
      <c r="H702" s="50" t="str">
        <f>IFERROR(INDEX(NameStudent,MATCH(ROWS($H$1:$H702),Index,0)),"")</f>
        <v>Бирюков Алексей  Сергеевич;6-19РМ066/2019;;№6</v>
      </c>
    </row>
    <row r="703" spans="1:8" ht="16.149999999999999" customHeight="1" x14ac:dyDescent="0.2">
      <c r="A703" s="72"/>
      <c r="B703" s="73" t="s">
        <v>1462</v>
      </c>
      <c r="C703" s="71" t="s">
        <v>1463</v>
      </c>
      <c r="D703" s="73" t="s">
        <v>55</v>
      </c>
      <c r="E703" s="50" t="str">
        <f t="shared" si="20"/>
        <v>Викулин Сергей  Дмитриевич;6-19РМ046/2019;;№6</v>
      </c>
      <c r="F703" s="50" t="b">
        <f t="shared" si="21"/>
        <v>1</v>
      </c>
      <c r="G703" s="50">
        <f>IF($F703,COUNTIF($F$1:$F703,TRUE),"")</f>
        <v>703</v>
      </c>
      <c r="H703" s="50" t="str">
        <f>IFERROR(INDEX(NameStudent,MATCH(ROWS($H$1:$H703),Index,0)),"")</f>
        <v>Викулин Сергей  Дмитриевич;6-19РМ046/2019;;№6</v>
      </c>
    </row>
    <row r="704" spans="1:8" ht="16.149999999999999" customHeight="1" x14ac:dyDescent="0.2">
      <c r="A704" s="72"/>
      <c r="B704" s="73" t="s">
        <v>1464</v>
      </c>
      <c r="C704" s="71" t="s">
        <v>1465</v>
      </c>
      <c r="D704" s="73" t="s">
        <v>55</v>
      </c>
      <c r="E704" s="50" t="str">
        <f t="shared" si="20"/>
        <v>Гарифуллин Тимур  Талгатович;6-19РМ048/2019;;№6</v>
      </c>
      <c r="F704" s="50" t="b">
        <f t="shared" si="21"/>
        <v>1</v>
      </c>
      <c r="G704" s="50">
        <f>IF($F704,COUNTIF($F$1:$F704,TRUE),"")</f>
        <v>704</v>
      </c>
      <c r="H704" s="50" t="str">
        <f>IFERROR(INDEX(NameStudent,MATCH(ROWS($H$1:$H704),Index,0)),"")</f>
        <v>Гарифуллин Тимур  Талгатович;6-19РМ048/2019;;№6</v>
      </c>
    </row>
    <row r="705" spans="1:8" ht="16.149999999999999" customHeight="1" x14ac:dyDescent="0.2">
      <c r="A705" s="72"/>
      <c r="B705" s="73" t="s">
        <v>1466</v>
      </c>
      <c r="C705" s="71" t="s">
        <v>1467</v>
      </c>
      <c r="D705" s="73" t="s">
        <v>55</v>
      </c>
      <c r="E705" s="50" t="str">
        <f t="shared" ref="E705:E768" si="22">LEFT(C705,IF(ISERROR(FIND(":",C705))=TRUE,LEN(C705),FIND(":",C705)-1)) &amp; ";" &amp; B705 &amp; ";" &amp; A705 &amp; ";" &amp;D705</f>
        <v>Дворецкая Малика  Ийсаевна;6-19РМ022/2019;;№6</v>
      </c>
      <c r="F705" s="50" t="b">
        <f t="shared" ref="F705:F768" si="23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Дворецкая Малика  Ийсаевна;6-19РМ022/2019;;№6</v>
      </c>
    </row>
    <row r="706" spans="1:8" ht="16.149999999999999" customHeight="1" x14ac:dyDescent="0.2">
      <c r="A706" s="72"/>
      <c r="B706" s="73" t="s">
        <v>1468</v>
      </c>
      <c r="C706" s="71" t="s">
        <v>1469</v>
      </c>
      <c r="D706" s="73" t="s">
        <v>55</v>
      </c>
      <c r="E706" s="50" t="str">
        <f t="shared" si="22"/>
        <v>Дворецкий Владимир  Владимирович;6-19РМ023/2019;;№6</v>
      </c>
      <c r="F706" s="50" t="b">
        <f t="shared" si="23"/>
        <v>1</v>
      </c>
      <c r="G706" s="50">
        <f>IF($F706,COUNTIF($F$1:$F706,TRUE),"")</f>
        <v>706</v>
      </c>
      <c r="H706" s="50" t="str">
        <f>IFERROR(INDEX(NameStudent,MATCH(ROWS($H$1:$H706),Index,0)),"")</f>
        <v>Дворецкий Владимир  Владимирович;6-19РМ023/2019;;№6</v>
      </c>
    </row>
    <row r="707" spans="1:8" ht="16.149999999999999" customHeight="1" x14ac:dyDescent="0.2">
      <c r="A707" s="72"/>
      <c r="B707" s="73" t="s">
        <v>1470</v>
      </c>
      <c r="C707" s="71" t="s">
        <v>1471</v>
      </c>
      <c r="D707" s="73" t="s">
        <v>55</v>
      </c>
      <c r="E707" s="50" t="str">
        <f t="shared" si="22"/>
        <v>Ерин Дмитрий  Владимирович;6-19РМ070/2019;;№6</v>
      </c>
      <c r="F707" s="50" t="b">
        <f t="shared" si="23"/>
        <v>1</v>
      </c>
      <c r="G707" s="50">
        <f>IF($F707,COUNTIF($F$1:$F707,TRUE),"")</f>
        <v>707</v>
      </c>
      <c r="H707" s="50" t="str">
        <f>IFERROR(INDEX(NameStudent,MATCH(ROWS($H$1:$H707),Index,0)),"")</f>
        <v>Ерин Дмитрий  Владимирович;6-19РМ070/2019;;№6</v>
      </c>
    </row>
    <row r="708" spans="1:8" ht="16.149999999999999" customHeight="1" x14ac:dyDescent="0.2">
      <c r="A708" s="72"/>
      <c r="B708" s="73" t="s">
        <v>1472</v>
      </c>
      <c r="C708" s="71" t="s">
        <v>1473</v>
      </c>
      <c r="D708" s="73" t="s">
        <v>55</v>
      </c>
      <c r="E708" s="50" t="str">
        <f t="shared" si="22"/>
        <v>Кравцов Максим  Андреевич;6-19РМ072/2019;;№6</v>
      </c>
      <c r="F708" s="50" t="b">
        <f t="shared" si="23"/>
        <v>1</v>
      </c>
      <c r="G708" s="50">
        <f>IF($F708,COUNTIF($F$1:$F708,TRUE),"")</f>
        <v>708</v>
      </c>
      <c r="H708" s="50" t="str">
        <f>IFERROR(INDEX(NameStudent,MATCH(ROWS($H$1:$H708),Index,0)),"")</f>
        <v>Кравцов Максим  Андреевич;6-19РМ072/2019;;№6</v>
      </c>
    </row>
    <row r="709" spans="1:8" ht="16.149999999999999" customHeight="1" x14ac:dyDescent="0.2">
      <c r="A709" s="72"/>
      <c r="B709" s="73" t="s">
        <v>1474</v>
      </c>
      <c r="C709" s="71" t="s">
        <v>1475</v>
      </c>
      <c r="D709" s="73" t="s">
        <v>55</v>
      </c>
      <c r="E709" s="50" t="str">
        <f t="shared" si="22"/>
        <v>Мигранов Рустам  Рамилевич;6-19РМ056/2019;;№6</v>
      </c>
      <c r="F709" s="50" t="b">
        <f t="shared" si="23"/>
        <v>1</v>
      </c>
      <c r="G709" s="50">
        <f>IF($F709,COUNTIF($F$1:$F709,TRUE),"")</f>
        <v>709</v>
      </c>
      <c r="H709" s="50" t="str">
        <f>IFERROR(INDEX(NameStudent,MATCH(ROWS($H$1:$H709),Index,0)),"")</f>
        <v>Мигранов Рустам  Рамилевич;6-19РМ056/2019;;№6</v>
      </c>
    </row>
    <row r="710" spans="1:8" ht="16.149999999999999" customHeight="1" x14ac:dyDescent="0.2">
      <c r="A710" s="72"/>
      <c r="B710" s="73" t="s">
        <v>1476</v>
      </c>
      <c r="C710" s="71" t="s">
        <v>1477</v>
      </c>
      <c r="D710" s="73" t="s">
        <v>55</v>
      </c>
      <c r="E710" s="50" t="str">
        <f t="shared" si="22"/>
        <v>Мозгунова Анастасия  Сергеевна;6-19РМ012/2019;;№6</v>
      </c>
      <c r="F710" s="50" t="b">
        <f t="shared" si="23"/>
        <v>1</v>
      </c>
      <c r="G710" s="50">
        <f>IF($F710,COUNTIF($F$1:$F710,TRUE),"")</f>
        <v>710</v>
      </c>
      <c r="H710" s="50" t="str">
        <f>IFERROR(INDEX(NameStudent,MATCH(ROWS($H$1:$H710),Index,0)),"")</f>
        <v>Мозгунова Анастасия  Сергеевна;6-19РМ012/2019;;№6</v>
      </c>
    </row>
    <row r="711" spans="1:8" ht="16.149999999999999" customHeight="1" x14ac:dyDescent="0.2">
      <c r="A711" s="72"/>
      <c r="B711" s="73" t="s">
        <v>1478</v>
      </c>
      <c r="C711" s="71" t="s">
        <v>1479</v>
      </c>
      <c r="D711" s="73" t="s">
        <v>55</v>
      </c>
      <c r="E711" s="50" t="str">
        <f t="shared" si="22"/>
        <v>Муратов Кирилл  Леонидович;6-19РМ057/2019;;№6</v>
      </c>
      <c r="F711" s="50" t="b">
        <f t="shared" si="23"/>
        <v>1</v>
      </c>
      <c r="G711" s="50">
        <f>IF($F711,COUNTIF($F$1:$F711,TRUE),"")</f>
        <v>711</v>
      </c>
      <c r="H711" s="50" t="str">
        <f>IFERROR(INDEX(NameStudent,MATCH(ROWS($H$1:$H711),Index,0)),"")</f>
        <v>Муратов Кирилл  Леонидович;6-19РМ057/2019;;№6</v>
      </c>
    </row>
    <row r="712" spans="1:8" ht="16.149999999999999" customHeight="1" x14ac:dyDescent="0.2">
      <c r="A712" s="72"/>
      <c r="B712" s="73" t="s">
        <v>1480</v>
      </c>
      <c r="C712" s="71" t="s">
        <v>1481</v>
      </c>
      <c r="D712" s="73" t="s">
        <v>55</v>
      </c>
      <c r="E712" s="50" t="str">
        <f t="shared" si="22"/>
        <v>Мухутдинов Эдуард  Альбертович;6-19РМ074/2019;;№6</v>
      </c>
      <c r="F712" s="50" t="b">
        <f t="shared" si="23"/>
        <v>1</v>
      </c>
      <c r="G712" s="50">
        <f>IF($F712,COUNTIF($F$1:$F712,TRUE),"")</f>
        <v>712</v>
      </c>
      <c r="H712" s="50" t="str">
        <f>IFERROR(INDEX(NameStudent,MATCH(ROWS($H$1:$H712),Index,0)),"")</f>
        <v>Мухутдинов Эдуард  Альбертович;6-19РМ074/2019;;№6</v>
      </c>
    </row>
    <row r="713" spans="1:8" ht="16.149999999999999" customHeight="1" x14ac:dyDescent="0.2">
      <c r="A713" s="72"/>
      <c r="B713" s="73" t="s">
        <v>1482</v>
      </c>
      <c r="C713" s="71" t="s">
        <v>1483</v>
      </c>
      <c r="D713" s="73" t="s">
        <v>55</v>
      </c>
      <c r="E713" s="50" t="str">
        <f t="shared" si="22"/>
        <v>Привалова Екатерина  Германовна;6-19РМ041/2019;;№6</v>
      </c>
      <c r="F713" s="50" t="b">
        <f t="shared" si="23"/>
        <v>1</v>
      </c>
      <c r="G713" s="50">
        <f>IF($F713,COUNTIF($F$1:$F713,TRUE),"")</f>
        <v>713</v>
      </c>
      <c r="H713" s="50" t="str">
        <f>IFERROR(INDEX(NameStudent,MATCH(ROWS($H$1:$H713),Index,0)),"")</f>
        <v>Привалова Екатерина  Германовна;6-19РМ041/2019;;№6</v>
      </c>
    </row>
    <row r="714" spans="1:8" ht="16.149999999999999" customHeight="1" x14ac:dyDescent="0.2">
      <c r="A714" s="72"/>
      <c r="B714" s="73" t="s">
        <v>1484</v>
      </c>
      <c r="C714" s="71" t="s">
        <v>1485</v>
      </c>
      <c r="D714" s="73" t="s">
        <v>55</v>
      </c>
      <c r="E714" s="50" t="str">
        <f t="shared" si="22"/>
        <v>Ролдугин Григорий  Алексеевич;6-19РМ076/2019;;№6</v>
      </c>
      <c r="F714" s="50" t="b">
        <f t="shared" si="23"/>
        <v>1</v>
      </c>
      <c r="G714" s="50">
        <f>IF($F714,COUNTIF($F$1:$F714,TRUE),"")</f>
        <v>714</v>
      </c>
      <c r="H714" s="50" t="str">
        <f>IFERROR(INDEX(NameStudent,MATCH(ROWS($H$1:$H714),Index,0)),"")</f>
        <v>Ролдугин Григорий  Алексеевич;6-19РМ076/2019;;№6</v>
      </c>
    </row>
    <row r="715" spans="1:8" ht="16.149999999999999" customHeight="1" x14ac:dyDescent="0.2">
      <c r="A715" s="72"/>
      <c r="B715" s="73" t="s">
        <v>1486</v>
      </c>
      <c r="C715" s="71" t="s">
        <v>1487</v>
      </c>
      <c r="D715" s="73" t="s">
        <v>55</v>
      </c>
      <c r="E715" s="50" t="str">
        <f t="shared" si="22"/>
        <v>Сингур Алексей  Витальевич;6-19РМ014/2019;;№6</v>
      </c>
      <c r="F715" s="50" t="b">
        <f t="shared" si="23"/>
        <v>1</v>
      </c>
      <c r="G715" s="50">
        <f>IF($F715,COUNTIF($F$1:$F715,TRUE),"")</f>
        <v>715</v>
      </c>
      <c r="H715" s="50" t="str">
        <f>IFERROR(INDEX(NameStudent,MATCH(ROWS($H$1:$H715),Index,0)),"")</f>
        <v>Сингур Алексей  Витальевич;6-19РМ014/2019;;№6</v>
      </c>
    </row>
    <row r="716" spans="1:8" ht="16.149999999999999" customHeight="1" x14ac:dyDescent="0.2">
      <c r="A716" s="72"/>
      <c r="B716" s="73" t="s">
        <v>1488</v>
      </c>
      <c r="C716" s="71" t="s">
        <v>1489</v>
      </c>
      <c r="D716" s="73" t="s">
        <v>55</v>
      </c>
      <c r="E716" s="50" t="str">
        <f t="shared" si="22"/>
        <v>Химочкина Мария  Владимировна;6-19РМ079/2019;;№6</v>
      </c>
      <c r="F716" s="50" t="b">
        <f t="shared" si="23"/>
        <v>1</v>
      </c>
      <c r="G716" s="50">
        <f>IF($F716,COUNTIF($F$1:$F716,TRUE),"")</f>
        <v>716</v>
      </c>
      <c r="H716" s="50" t="str">
        <f>IFERROR(INDEX(NameStudent,MATCH(ROWS($H$1:$H716),Index,0)),"")</f>
        <v>Химочкина Мария  Владимировна;6-19РМ079/2019;;№6</v>
      </c>
    </row>
    <row r="717" spans="1:8" ht="16.149999999999999" customHeight="1" x14ac:dyDescent="0.2">
      <c r="A717" s="72"/>
      <c r="B717" s="73" t="s">
        <v>1490</v>
      </c>
      <c r="C717" s="71" t="s">
        <v>1491</v>
      </c>
      <c r="D717" s="73" t="s">
        <v>55</v>
      </c>
      <c r="E717" s="50" t="str">
        <f t="shared" si="22"/>
        <v>Шпичко Владимир  Дмитриевич;6-19РМ083/2019;;№6</v>
      </c>
      <c r="F717" s="50" t="b">
        <f t="shared" si="23"/>
        <v>1</v>
      </c>
      <c r="G717" s="50">
        <f>IF($F717,COUNTIF($F$1:$F717,TRUE),"")</f>
        <v>717</v>
      </c>
      <c r="H717" s="50" t="str">
        <f>IFERROR(INDEX(NameStudent,MATCH(ROWS($H$1:$H717),Index,0)),"")</f>
        <v>Шпичко Владимир  Дмитриевич;6-19РМ083/2019;;№6</v>
      </c>
    </row>
    <row r="718" spans="1:8" ht="16.149999999999999" customHeight="1" x14ac:dyDescent="0.2">
      <c r="A718" s="72"/>
      <c r="B718" s="73" t="s">
        <v>1492</v>
      </c>
      <c r="C718" s="71" t="s">
        <v>1493</v>
      </c>
      <c r="D718" s="73" t="s">
        <v>55</v>
      </c>
      <c r="E718" s="50" t="str">
        <f t="shared" si="22"/>
        <v>Худобердин Никита Игоревич;6-19ММ104/2019;;№6</v>
      </c>
      <c r="F718" s="50" t="b">
        <f t="shared" si="23"/>
        <v>1</v>
      </c>
      <c r="G718" s="50">
        <f>IF($F718,COUNTIF($F$1:$F718,TRUE),"")</f>
        <v>718</v>
      </c>
      <c r="H718" s="50" t="str">
        <f>IFERROR(INDEX(NameStudent,MATCH(ROWS($H$1:$H718),Index,0)),"")</f>
        <v>Худобердин Никита Игоревич;6-19ММ104/2019;;№6</v>
      </c>
    </row>
    <row r="719" spans="1:8" ht="16.149999999999999" customHeight="1" x14ac:dyDescent="0.2">
      <c r="A719" s="72"/>
      <c r="B719" s="73" t="s">
        <v>1494</v>
      </c>
      <c r="C719" s="71" t="s">
        <v>1495</v>
      </c>
      <c r="D719" s="73" t="s">
        <v>55</v>
      </c>
      <c r="E719" s="50" t="str">
        <f t="shared" si="22"/>
        <v>Авдейчиков Дмирий Андреевич;6-19ММ001/2019;;№6</v>
      </c>
      <c r="F719" s="50" t="b">
        <f t="shared" si="23"/>
        <v>1</v>
      </c>
      <c r="G719" s="50">
        <f>IF($F719,COUNTIF($F$1:$F719,TRUE),"")</f>
        <v>719</v>
      </c>
      <c r="H719" s="50" t="str">
        <f>IFERROR(INDEX(NameStudent,MATCH(ROWS($H$1:$H719),Index,0)),"")</f>
        <v>Авдейчиков Дмирий Андреевич;6-19ММ001/2019;;№6</v>
      </c>
    </row>
    <row r="720" spans="1:8" ht="16.149999999999999" customHeight="1" x14ac:dyDescent="0.2">
      <c r="A720" s="72"/>
      <c r="B720" s="73" t="s">
        <v>1496</v>
      </c>
      <c r="C720" s="71" t="s">
        <v>1497</v>
      </c>
      <c r="D720" s="73" t="s">
        <v>55</v>
      </c>
      <c r="E720" s="50" t="str">
        <f t="shared" si="22"/>
        <v>Аносов Владислав Вячеславович;6-19ММ006/2019;;№6</v>
      </c>
      <c r="F720" s="50" t="b">
        <f t="shared" si="23"/>
        <v>1</v>
      </c>
      <c r="G720" s="50">
        <f>IF($F720,COUNTIF($F$1:$F720,TRUE),"")</f>
        <v>720</v>
      </c>
      <c r="H720" s="50" t="str">
        <f>IFERROR(INDEX(NameStudent,MATCH(ROWS($H$1:$H720),Index,0)),"")</f>
        <v>Аносов Владислав Вячеславович;6-19ММ006/2019;;№6</v>
      </c>
    </row>
    <row r="721" spans="1:8" ht="16.149999999999999" customHeight="1" x14ac:dyDescent="0.2">
      <c r="A721" s="72"/>
      <c r="B721" s="73" t="s">
        <v>1498</v>
      </c>
      <c r="C721" s="71" t="s">
        <v>1499</v>
      </c>
      <c r="D721" s="73" t="s">
        <v>55</v>
      </c>
      <c r="E721" s="50" t="str">
        <f t="shared" si="22"/>
        <v>Спицына Мария Владимировна;6-19мм095/2019;;№6</v>
      </c>
      <c r="F721" s="50" t="b">
        <f t="shared" si="23"/>
        <v>1</v>
      </c>
      <c r="G721" s="50">
        <f>IF($F721,COUNTIF($F$1:$F721,TRUE),"")</f>
        <v>721</v>
      </c>
      <c r="H721" s="50" t="str">
        <f>IFERROR(INDEX(NameStudent,MATCH(ROWS($H$1:$H721),Index,0)),"")</f>
        <v>Спицына Мария Владимировна;6-19мм095/2019;;№6</v>
      </c>
    </row>
    <row r="722" spans="1:8" ht="16.149999999999999" customHeight="1" x14ac:dyDescent="0.2">
      <c r="A722" s="72"/>
      <c r="B722" s="73" t="s">
        <v>1500</v>
      </c>
      <c r="C722" s="71" t="s">
        <v>1501</v>
      </c>
      <c r="D722" s="73" t="s">
        <v>55</v>
      </c>
      <c r="E722" s="50" t="str">
        <f t="shared" si="22"/>
        <v>Самойлова Арина Сергеевна;6-19мм090/2019;;№6</v>
      </c>
      <c r="F722" s="50" t="b">
        <f t="shared" si="23"/>
        <v>1</v>
      </c>
      <c r="G722" s="50">
        <f>IF($F722,COUNTIF($F$1:$F722,TRUE),"")</f>
        <v>722</v>
      </c>
      <c r="H722" s="50" t="str">
        <f>IFERROR(INDEX(NameStudent,MATCH(ROWS($H$1:$H722),Index,0)),"")</f>
        <v>Самойлова Арина Сергеевна;6-19мм090/2019;;№6</v>
      </c>
    </row>
    <row r="723" spans="1:8" ht="16.149999999999999" customHeight="1" x14ac:dyDescent="0.2">
      <c r="A723" s="72"/>
      <c r="B723" s="73" t="s">
        <v>1502</v>
      </c>
      <c r="C723" s="71" t="s">
        <v>1503</v>
      </c>
      <c r="D723" s="73" t="s">
        <v>55</v>
      </c>
      <c r="E723" s="50" t="str">
        <f t="shared" si="22"/>
        <v>Лушкин Дмитрий Сергеевич;6-19мм060/2019;;№6</v>
      </c>
      <c r="F723" s="50" t="b">
        <f t="shared" si="23"/>
        <v>1</v>
      </c>
      <c r="G723" s="50">
        <f>IF($F723,COUNTIF($F$1:$F723,TRUE),"")</f>
        <v>723</v>
      </c>
      <c r="H723" s="50" t="str">
        <f>IFERROR(INDEX(NameStudent,MATCH(ROWS($H$1:$H723),Index,0)),"")</f>
        <v>Лушкин Дмитрий Сергеевич;6-19мм060/2019;;№6</v>
      </c>
    </row>
    <row r="724" spans="1:8" ht="16.149999999999999" customHeight="1" x14ac:dyDescent="0.2">
      <c r="A724" s="72"/>
      <c r="B724" s="73" t="s">
        <v>1504</v>
      </c>
      <c r="C724" s="71" t="s">
        <v>1505</v>
      </c>
      <c r="D724" s="73" t="s">
        <v>55</v>
      </c>
      <c r="E724" s="50" t="str">
        <f t="shared" si="22"/>
        <v>Шаталин  Алексей Сергеевич;6-14М328/2019;;№6</v>
      </c>
      <c r="F724" s="50" t="b">
        <f t="shared" si="23"/>
        <v>1</v>
      </c>
      <c r="G724" s="50">
        <f>IF($F724,COUNTIF($F$1:$F724,TRUE),"")</f>
        <v>724</v>
      </c>
      <c r="H724" s="50" t="str">
        <f>IFERROR(INDEX(NameStudent,MATCH(ROWS($H$1:$H724),Index,0)),"")</f>
        <v>Шаталин  Алексей Сергеевич;6-14М328/2019;;№6</v>
      </c>
    </row>
    <row r="725" spans="1:8" ht="16.149999999999999" customHeight="1" x14ac:dyDescent="0.2">
      <c r="A725" s="72"/>
      <c r="B725" s="73" t="s">
        <v>1506</v>
      </c>
      <c r="C725" s="71" t="s">
        <v>1507</v>
      </c>
      <c r="D725" s="73" t="s">
        <v>55</v>
      </c>
      <c r="E725" s="50" t="str">
        <f t="shared" si="22"/>
        <v>Иванов Егор Владимирович;6-19мм041/2019;;№6</v>
      </c>
      <c r="F725" s="50" t="b">
        <f t="shared" si="23"/>
        <v>1</v>
      </c>
      <c r="G725" s="50">
        <f>IF($F725,COUNTIF($F$1:$F725,TRUE),"")</f>
        <v>725</v>
      </c>
      <c r="H725" s="50" t="str">
        <f>IFERROR(INDEX(NameStudent,MATCH(ROWS($H$1:$H725),Index,0)),"")</f>
        <v>Иванов Егор Владимирович;6-19мм041/2019;;№6</v>
      </c>
    </row>
    <row r="726" spans="1:8" ht="16.149999999999999" customHeight="1" x14ac:dyDescent="0.2">
      <c r="A726" s="72"/>
      <c r="B726" s="73" t="s">
        <v>1508</v>
      </c>
      <c r="C726" s="71" t="s">
        <v>1509</v>
      </c>
      <c r="D726" s="73" t="s">
        <v>55</v>
      </c>
      <c r="E726" s="50" t="str">
        <f t="shared" si="22"/>
        <v>Лубянский Артем Олегович;6-19мм059/2019;;№6</v>
      </c>
      <c r="F726" s="50" t="b">
        <f t="shared" si="23"/>
        <v>1</v>
      </c>
      <c r="G726" s="50">
        <f>IF($F726,COUNTIF($F$1:$F726,TRUE),"")</f>
        <v>726</v>
      </c>
      <c r="H726" s="50" t="str">
        <f>IFERROR(INDEX(NameStudent,MATCH(ROWS($H$1:$H726),Index,0)),"")</f>
        <v>Лубянский Артем Олегович;6-19мм059/2019;;№6</v>
      </c>
    </row>
    <row r="727" spans="1:8" ht="16.149999999999999" customHeight="1" x14ac:dyDescent="0.2">
      <c r="A727" s="72"/>
      <c r="B727" s="73" t="s">
        <v>1510</v>
      </c>
      <c r="C727" s="71" t="s">
        <v>1511</v>
      </c>
      <c r="D727" s="73" t="s">
        <v>55</v>
      </c>
      <c r="E727" s="50" t="str">
        <f t="shared" si="22"/>
        <v>Астахов Иван Сергеевич;6-17М046/2019;;№6</v>
      </c>
      <c r="F727" s="50" t="b">
        <f t="shared" si="23"/>
        <v>1</v>
      </c>
      <c r="G727" s="50">
        <f>IF($F727,COUNTIF($F$1:$F727,TRUE),"")</f>
        <v>727</v>
      </c>
      <c r="H727" s="50" t="str">
        <f>IFERROR(INDEX(NameStudent,MATCH(ROWS($H$1:$H727),Index,0)),"")</f>
        <v>Астахов Иван Сергеевич;6-17М046/2019;;№6</v>
      </c>
    </row>
    <row r="728" spans="1:8" ht="16.149999999999999" customHeight="1" x14ac:dyDescent="0.2">
      <c r="A728" s="72"/>
      <c r="B728" s="73" t="s">
        <v>1512</v>
      </c>
      <c r="C728" s="71" t="s">
        <v>1513</v>
      </c>
      <c r="D728" s="73" t="s">
        <v>55</v>
      </c>
      <c r="E728" s="50" t="str">
        <f t="shared" si="22"/>
        <v>Деева Маргарита Андреевна;6-19РМ009/2019;;№6</v>
      </c>
      <c r="F728" s="50" t="b">
        <f t="shared" si="23"/>
        <v>1</v>
      </c>
      <c r="G728" s="50">
        <f>IF($F728,COUNTIF($F$1:$F728,TRUE),"")</f>
        <v>728</v>
      </c>
      <c r="H728" s="50" t="str">
        <f>IFERROR(INDEX(NameStudent,MATCH(ROWS($H$1:$H728),Index,0)),"")</f>
        <v>Деева Маргарита Андреевна;6-19РМ009/2019;;№6</v>
      </c>
    </row>
    <row r="729" spans="1:8" ht="16.149999999999999" customHeight="1" x14ac:dyDescent="0.2">
      <c r="A729" s="72"/>
      <c r="B729" s="73" t="s">
        <v>1514</v>
      </c>
      <c r="C729" s="71" t="s">
        <v>1515</v>
      </c>
      <c r="D729" s="73" t="s">
        <v>55</v>
      </c>
      <c r="E729" s="50" t="str">
        <f t="shared" si="22"/>
        <v>Власевский Владимир Николаевич;6-19РМ031/2019;;№6</v>
      </c>
      <c r="F729" s="50" t="b">
        <f t="shared" si="23"/>
        <v>1</v>
      </c>
      <c r="G729" s="50">
        <f>IF($F729,COUNTIF($F$1:$F729,TRUE),"")</f>
        <v>729</v>
      </c>
      <c r="H729" s="50" t="str">
        <f>IFERROR(INDEX(NameStudent,MATCH(ROWS($H$1:$H729),Index,0)),"")</f>
        <v>Власевский Владимир Николаевич;6-19РМ031/2019;;№6</v>
      </c>
    </row>
    <row r="730" spans="1:8" ht="16.149999999999999" customHeight="1" x14ac:dyDescent="0.2">
      <c r="A730" s="72"/>
      <c r="B730" s="73" t="s">
        <v>1516</v>
      </c>
      <c r="C730" s="71" t="s">
        <v>1517</v>
      </c>
      <c r="D730" s="73" t="s">
        <v>55</v>
      </c>
      <c r="E730" s="50" t="str">
        <f t="shared" si="22"/>
        <v>Андрющенко Артур Павлович;6-17М239/2019;;№6</v>
      </c>
      <c r="F730" s="50" t="b">
        <f t="shared" si="23"/>
        <v>1</v>
      </c>
      <c r="G730" s="50">
        <f>IF($F730,COUNTIF($F$1:$F730,TRUE),"")</f>
        <v>730</v>
      </c>
      <c r="H730" s="50" t="str">
        <f>IFERROR(INDEX(NameStudent,MATCH(ROWS($H$1:$H730),Index,0)),"")</f>
        <v>Андрющенко Артур Павлович;6-17М239/2019;;№6</v>
      </c>
    </row>
    <row r="731" spans="1:8" ht="16.149999999999999" customHeight="1" x14ac:dyDescent="0.2">
      <c r="A731" s="72"/>
      <c r="B731" s="73" t="s">
        <v>1518</v>
      </c>
      <c r="C731" s="71" t="s">
        <v>1519</v>
      </c>
      <c r="D731" s="73" t="s">
        <v>55</v>
      </c>
      <c r="E731" s="50" t="str">
        <f t="shared" si="22"/>
        <v>Нахушева Алёна Суфьяновна;6-19мм076/2019;;№6</v>
      </c>
      <c r="F731" s="50" t="b">
        <f t="shared" si="23"/>
        <v>1</v>
      </c>
      <c r="G731" s="50">
        <f>IF($F731,COUNTIF($F$1:$F731,TRUE),"")</f>
        <v>731</v>
      </c>
      <c r="H731" s="50" t="str">
        <f>IFERROR(INDEX(NameStudent,MATCH(ROWS($H$1:$H731),Index,0)),"")</f>
        <v>Нахушева Алёна Суфьяновна;6-19мм076/2019;;№6</v>
      </c>
    </row>
    <row r="732" spans="1:8" ht="16.149999999999999" customHeight="1" x14ac:dyDescent="0.2">
      <c r="A732" s="72"/>
      <c r="B732" s="50" t="s">
        <v>1521</v>
      </c>
      <c r="C732" s="50" t="s">
        <v>1520</v>
      </c>
      <c r="D732" s="73" t="s">
        <v>55</v>
      </c>
      <c r="E732" s="50" t="str">
        <f t="shared" si="22"/>
        <v>Игнатов Павел Ильич;6-19ММ044/2019;;№6</v>
      </c>
      <c r="F732" s="50" t="b">
        <f t="shared" si="23"/>
        <v>1</v>
      </c>
      <c r="G732" s="50">
        <f>IF($F732,COUNTIF($F$1:$F732,TRUE),"")</f>
        <v>732</v>
      </c>
      <c r="H732" s="50" t="str">
        <f>IFERROR(INDEX(NameStudent,MATCH(ROWS($H$1:$H732),Index,0)),"")</f>
        <v>Игнатов Павел Ильич;6-19ММ044/2019;;№6</v>
      </c>
    </row>
    <row r="733" spans="1:8" ht="16.149999999999999" customHeight="1" x14ac:dyDescent="0.2">
      <c r="A733" s="72"/>
      <c r="B733" s="73" t="s">
        <v>1522</v>
      </c>
      <c r="C733" s="71" t="s">
        <v>1523</v>
      </c>
      <c r="D733" s="73" t="s">
        <v>55</v>
      </c>
      <c r="E733" s="50" t="str">
        <f t="shared" si="22"/>
        <v>Леонова Елизавета Геннадьевна;6-19Ю010/2019;;№6</v>
      </c>
      <c r="F733" s="50" t="b">
        <f t="shared" si="23"/>
        <v>1</v>
      </c>
      <c r="G733" s="50">
        <f>IF($F733,COUNTIF($F$1:$F733,TRUE),"")</f>
        <v>733</v>
      </c>
      <c r="H733" s="50" t="str">
        <f>IFERROR(INDEX(NameStudent,MATCH(ROWS($H$1:$H733),Index,0)),"")</f>
        <v>Леонова Елизавета Геннадьевна;6-19Ю010/2019;;№6</v>
      </c>
    </row>
    <row r="734" spans="1:8" ht="16.149999999999999" customHeight="1" x14ac:dyDescent="0.2">
      <c r="A734" s="72"/>
      <c r="B734" s="73" t="s">
        <v>1524</v>
      </c>
      <c r="C734" s="71" t="s">
        <v>1525</v>
      </c>
      <c r="D734" s="73" t="s">
        <v>55</v>
      </c>
      <c r="E734" s="50" t="str">
        <f t="shared" si="22"/>
        <v>Цзян Цзиньлун ;6-19ИР22/2019;;№6</v>
      </c>
      <c r="F734" s="50" t="b">
        <f t="shared" si="23"/>
        <v>1</v>
      </c>
      <c r="G734" s="50">
        <f>IF($F734,COUNTIF($F$1:$F734,TRUE),"")</f>
        <v>734</v>
      </c>
      <c r="H734" s="50" t="str">
        <f>IFERROR(INDEX(NameStudent,MATCH(ROWS($H$1:$H734),Index,0)),"")</f>
        <v>Цзян Цзиньлун ;6-19ИР22/2019;;№6</v>
      </c>
    </row>
    <row r="735" spans="1:8" ht="16.149999999999999" customHeight="1" x14ac:dyDescent="0.2">
      <c r="A735" s="72"/>
      <c r="B735" s="73" t="s">
        <v>1526</v>
      </c>
      <c r="C735" s="71" t="s">
        <v>1527</v>
      </c>
      <c r="D735" s="73" t="s">
        <v>55</v>
      </c>
      <c r="E735" s="50" t="str">
        <f t="shared" si="22"/>
        <v>СУ Цзяци ;6-19ИР20/2019;;№6</v>
      </c>
      <c r="F735" s="50" t="b">
        <f t="shared" si="23"/>
        <v>1</v>
      </c>
      <c r="G735" s="50">
        <f>IF($F735,COUNTIF($F$1:$F735,TRUE),"")</f>
        <v>735</v>
      </c>
      <c r="H735" s="50" t="str">
        <f>IFERROR(INDEX(NameStudent,MATCH(ROWS($H$1:$H735),Index,0)),"")</f>
        <v>СУ Цзяци ;6-19ИР20/2019;;№6</v>
      </c>
    </row>
    <row r="736" spans="1:8" ht="16.149999999999999" customHeight="1" x14ac:dyDescent="0.2">
      <c r="A736" s="72"/>
      <c r="B736" s="73" t="s">
        <v>1528</v>
      </c>
      <c r="C736" s="71" t="s">
        <v>1529</v>
      </c>
      <c r="D736" s="73" t="s">
        <v>55</v>
      </c>
      <c r="E736" s="50" t="str">
        <f t="shared" si="22"/>
        <v>Чжао Пэн ;6-19ИР21/2019;;№6</v>
      </c>
      <c r="F736" s="50" t="b">
        <f t="shared" si="23"/>
        <v>1</v>
      </c>
      <c r="G736" s="50">
        <f>IF($F736,COUNTIF($F$1:$F736,TRUE),"")</f>
        <v>736</v>
      </c>
      <c r="H736" s="50" t="str">
        <f>IFERROR(INDEX(NameStudent,MATCH(ROWS($H$1:$H736),Index,0)),"")</f>
        <v>Чжао Пэн ;6-19ИР21/2019;;№6</v>
      </c>
    </row>
    <row r="737" spans="1:8" ht="16.149999999999999" customHeight="1" x14ac:dyDescent="0.2">
      <c r="A737" s="72"/>
      <c r="B737" s="73" t="s">
        <v>1530</v>
      </c>
      <c r="C737" s="71" t="s">
        <v>1531</v>
      </c>
      <c r="D737" s="73" t="s">
        <v>55</v>
      </c>
      <c r="E737" s="50" t="str">
        <f t="shared" si="22"/>
        <v>У Сивэй ;6-19ИР23/2019;;№6</v>
      </c>
      <c r="F737" s="50" t="b">
        <f t="shared" si="23"/>
        <v>1</v>
      </c>
      <c r="G737" s="50">
        <f>IF($F737,COUNTIF($F$1:$F737,TRUE),"")</f>
        <v>737</v>
      </c>
      <c r="H737" s="50" t="str">
        <f>IFERROR(INDEX(NameStudent,MATCH(ROWS($H$1:$H737),Index,0)),"")</f>
        <v>У Сивэй ;6-19ИР23/2019;;№6</v>
      </c>
    </row>
    <row r="738" spans="1:8" ht="16.149999999999999" customHeight="1" x14ac:dyDescent="0.2">
      <c r="A738" s="72"/>
      <c r="B738" s="73" t="s">
        <v>1532</v>
      </c>
      <c r="C738" s="71" t="s">
        <v>1533</v>
      </c>
      <c r="D738" s="73" t="s">
        <v>55</v>
      </c>
      <c r="E738" s="50" t="str">
        <f t="shared" si="22"/>
        <v>Ван Тяньци ;6-19ИР24/2019;;№6</v>
      </c>
      <c r="F738" s="50" t="b">
        <f t="shared" si="23"/>
        <v>1</v>
      </c>
      <c r="G738" s="50">
        <f>IF($F738,COUNTIF($F$1:$F738,TRUE),"")</f>
        <v>738</v>
      </c>
      <c r="H738" s="50" t="str">
        <f>IFERROR(INDEX(NameStudent,MATCH(ROWS($H$1:$H738),Index,0)),"")</f>
        <v>Ван Тяньци ;6-19ИР24/2019;;№6</v>
      </c>
    </row>
    <row r="739" spans="1:8" ht="16.149999999999999" customHeight="1" x14ac:dyDescent="0.2">
      <c r="A739" s="72"/>
      <c r="B739" s="73" t="s">
        <v>1534</v>
      </c>
      <c r="C739" s="71" t="s">
        <v>1535</v>
      </c>
      <c r="D739" s="73" t="s">
        <v>55</v>
      </c>
      <c r="E739" s="50" t="str">
        <f t="shared" si="22"/>
        <v>Ву Кыонг Тхинь;6-19ИР08/2019;;№6</v>
      </c>
      <c r="F739" s="50" t="b">
        <f t="shared" si="23"/>
        <v>1</v>
      </c>
      <c r="G739" s="50">
        <f>IF($F739,COUNTIF($F$1:$F739,TRUE),"")</f>
        <v>739</v>
      </c>
      <c r="H739" s="50" t="str">
        <f>IFERROR(INDEX(NameStudent,MATCH(ROWS($H$1:$H739),Index,0)),"")</f>
        <v>Ву Кыонг Тхинь;6-19ИР08/2019;;№6</v>
      </c>
    </row>
    <row r="740" spans="1:8" ht="16.149999999999999" customHeight="1" x14ac:dyDescent="0.2">
      <c r="A740" s="72"/>
      <c r="B740" s="73" t="s">
        <v>1536</v>
      </c>
      <c r="C740" s="71" t="s">
        <v>1537</v>
      </c>
      <c r="D740" s="73" t="s">
        <v>55</v>
      </c>
      <c r="E740" s="50" t="str">
        <f t="shared" si="22"/>
        <v>Фам Минь  Кханг;6-19ИР10/2019;;№6</v>
      </c>
      <c r="F740" s="50" t="b">
        <f t="shared" si="23"/>
        <v>1</v>
      </c>
      <c r="G740" s="50">
        <f>IF($F740,COUNTIF($F$1:$F740,TRUE),"")</f>
        <v>740</v>
      </c>
      <c r="H740" s="50" t="str">
        <f>IFERROR(INDEX(NameStudent,MATCH(ROWS($H$1:$H740),Index,0)),"")</f>
        <v>Фам Минь  Кханг;6-19ИР10/2019;;№6</v>
      </c>
    </row>
    <row r="741" spans="1:8" ht="16.149999999999999" customHeight="1" x14ac:dyDescent="0.2">
      <c r="A741" s="72"/>
      <c r="B741" s="73" t="s">
        <v>1538</v>
      </c>
      <c r="C741" s="71" t="s">
        <v>1539</v>
      </c>
      <c r="D741" s="73" t="s">
        <v>55</v>
      </c>
      <c r="E741" s="50" t="str">
        <f t="shared" si="22"/>
        <v>Гужва  Дмитрий Вадимович;6-19М618/2019;;№6</v>
      </c>
      <c r="F741" s="50" t="b">
        <f t="shared" si="23"/>
        <v>1</v>
      </c>
      <c r="G741" s="50">
        <f>IF($F741,COUNTIF($F$1:$F741,TRUE),"")</f>
        <v>741</v>
      </c>
      <c r="H741" s="50" t="str">
        <f>IFERROR(INDEX(NameStudent,MATCH(ROWS($H$1:$H741),Index,0)),"")</f>
        <v>Гужва  Дмитрий Вадимович;6-19М618/2019;;№6</v>
      </c>
    </row>
    <row r="742" spans="1:8" ht="16.149999999999999" customHeight="1" x14ac:dyDescent="0.2">
      <c r="A742" s="72"/>
      <c r="B742" s="73" t="s">
        <v>1540</v>
      </c>
      <c r="C742" s="71" t="s">
        <v>1541</v>
      </c>
      <c r="D742" s="73" t="s">
        <v>55</v>
      </c>
      <c r="E742" s="50" t="str">
        <f t="shared" si="22"/>
        <v>Ковальчук Евгений Михайлович;6-19М616/2019;;№6</v>
      </c>
      <c r="F742" s="50" t="b">
        <f t="shared" si="23"/>
        <v>1</v>
      </c>
      <c r="G742" s="50">
        <f>IF($F742,COUNTIF($F$1:$F742,TRUE),"")</f>
        <v>742</v>
      </c>
      <c r="H742" s="50" t="str">
        <f>IFERROR(INDEX(NameStudent,MATCH(ROWS($H$1:$H742),Index,0)),"")</f>
        <v>Ковальчук Евгений Михайлович;6-19М616/2019;;№6</v>
      </c>
    </row>
    <row r="743" spans="1:8" ht="16.149999999999999" customHeight="1" x14ac:dyDescent="0.2">
      <c r="A743" s="72"/>
      <c r="B743" s="73" t="s">
        <v>1542</v>
      </c>
      <c r="C743" s="71" t="s">
        <v>1543</v>
      </c>
      <c r="D743" s="73" t="s">
        <v>55</v>
      </c>
      <c r="E743" s="50" t="str">
        <f t="shared" si="22"/>
        <v>Михайлов Даниил Алексеевич;6-19М345/2019;;№6</v>
      </c>
      <c r="F743" s="50" t="b">
        <f t="shared" si="23"/>
        <v>1</v>
      </c>
      <c r="G743" s="50">
        <f>IF($F743,COUNTIF($F$1:$F743,TRUE),"")</f>
        <v>743</v>
      </c>
      <c r="H743" s="50" t="str">
        <f>IFERROR(INDEX(NameStudent,MATCH(ROWS($H$1:$H743),Index,0)),"")</f>
        <v>Михайлов Даниил Алексеевич;6-19М345/2019;;№6</v>
      </c>
    </row>
    <row r="744" spans="1:8" ht="16.149999999999999" customHeight="1" x14ac:dyDescent="0.2">
      <c r="A744" s="72"/>
      <c r="B744" s="73" t="s">
        <v>1544</v>
      </c>
      <c r="C744" s="71" t="s">
        <v>1545</v>
      </c>
      <c r="D744" s="73" t="s">
        <v>55</v>
      </c>
      <c r="E744" s="50" t="str">
        <f t="shared" si="22"/>
        <v>Михайлов Илья Алексеевич;6-19М347/2019;;№6</v>
      </c>
      <c r="F744" s="50" t="b">
        <f t="shared" si="23"/>
        <v>1</v>
      </c>
      <c r="G744" s="50">
        <f>IF($F744,COUNTIF($F$1:$F744,TRUE),"")</f>
        <v>744</v>
      </c>
      <c r="H744" s="50" t="str">
        <f>IFERROR(INDEX(NameStudent,MATCH(ROWS($H$1:$H744),Index,0)),"")</f>
        <v>Михайлов Илья Алексеевич;6-19М347/2019;;№6</v>
      </c>
    </row>
    <row r="745" spans="1:8" ht="16.149999999999999" customHeight="1" x14ac:dyDescent="0.2">
      <c r="A745" s="72"/>
      <c r="B745" s="73" t="s">
        <v>1546</v>
      </c>
      <c r="C745" s="71" t="s">
        <v>1547</v>
      </c>
      <c r="D745" s="73" t="s">
        <v>55</v>
      </c>
      <c r="E745" s="50" t="str">
        <f t="shared" si="22"/>
        <v>Яушев Рустем ;6-19РМ703/2019;;№6</v>
      </c>
      <c r="F745" s="50" t="b">
        <f t="shared" si="23"/>
        <v>1</v>
      </c>
      <c r="G745" s="50">
        <f>IF($F745,COUNTIF($F$1:$F745,TRUE),"")</f>
        <v>745</v>
      </c>
      <c r="H745" s="50" t="str">
        <f>IFERROR(INDEX(NameStudent,MATCH(ROWS($H$1:$H745),Index,0)),"")</f>
        <v>Яушев Рустем ;6-19РМ703/2019;;№6</v>
      </c>
    </row>
    <row r="746" spans="1:8" ht="16.149999999999999" customHeight="1" x14ac:dyDescent="0.2">
      <c r="A746" s="72"/>
      <c r="B746" s="73" t="s">
        <v>1548</v>
      </c>
      <c r="C746" s="71" t="s">
        <v>1549</v>
      </c>
      <c r="D746" s="73" t="s">
        <v>55</v>
      </c>
      <c r="E746" s="50" t="str">
        <f t="shared" si="22"/>
        <v>Емельянова Екатерина Валерьевна;6-19Ю002/2019;;№6</v>
      </c>
      <c r="F746" s="50" t="b">
        <f t="shared" si="23"/>
        <v>1</v>
      </c>
      <c r="G746" s="50">
        <f>IF($F746,COUNTIF($F$1:$F746,TRUE),"")</f>
        <v>746</v>
      </c>
      <c r="H746" s="50" t="str">
        <f>IFERROR(INDEX(NameStudent,MATCH(ROWS($H$1:$H746),Index,0)),"")</f>
        <v>Емельянова Екатерина Валерьевна;6-19Ю002/2019;;№6</v>
      </c>
    </row>
    <row r="747" spans="1:8" ht="16.149999999999999" customHeight="1" x14ac:dyDescent="0.2">
      <c r="A747" s="72"/>
      <c r="B747" s="73" t="s">
        <v>1550</v>
      </c>
      <c r="C747" s="71" t="s">
        <v>1551</v>
      </c>
      <c r="D747" s="73" t="s">
        <v>55</v>
      </c>
      <c r="E747" s="50" t="str">
        <f t="shared" si="22"/>
        <v>Кабрера Седеньо Марко Антони ;6-19ИМ10/2019;;№6</v>
      </c>
      <c r="F747" s="50" t="b">
        <f t="shared" si="23"/>
        <v>1</v>
      </c>
      <c r="G747" s="50">
        <f>IF($F747,COUNTIF($F$1:$F747,TRUE),"")</f>
        <v>747</v>
      </c>
      <c r="H747" s="50" t="str">
        <f>IFERROR(INDEX(NameStudent,MATCH(ROWS($H$1:$H747),Index,0)),"")</f>
        <v>Кабрера Седеньо Марко Антони ;6-19ИМ10/2019;;№6</v>
      </c>
    </row>
    <row r="748" spans="1:8" ht="16.149999999999999" customHeight="1" x14ac:dyDescent="0.2">
      <c r="A748" s="72"/>
      <c r="B748" s="73" t="s">
        <v>1552</v>
      </c>
      <c r="C748" s="71" t="s">
        <v>1553</v>
      </c>
      <c r="D748" s="73" t="s">
        <v>55</v>
      </c>
      <c r="E748" s="50" t="str">
        <f t="shared" si="22"/>
        <v>Корнев Данил Александрович;6-17М328/2019;;№6</v>
      </c>
      <c r="F748" s="50" t="b">
        <f t="shared" si="23"/>
        <v>1</v>
      </c>
      <c r="G748" s="50">
        <f>IF($F748,COUNTIF($F$1:$F748,TRUE),"")</f>
        <v>748</v>
      </c>
      <c r="H748" s="50" t="str">
        <f>IFERROR(INDEX(NameStudent,MATCH(ROWS($H$1:$H748),Index,0)),"")</f>
        <v>Корнев Данил Александрович;6-17М328/2019;;№6</v>
      </c>
    </row>
    <row r="749" spans="1:8" ht="16.149999999999999" customHeight="1" x14ac:dyDescent="0.2">
      <c r="A749" s="72"/>
      <c r="B749" s="50" t="s">
        <v>1555</v>
      </c>
      <c r="C749" s="71" t="s">
        <v>1554</v>
      </c>
      <c r="D749" s="73" t="s">
        <v>55</v>
      </c>
      <c r="E749" s="50" t="str">
        <f t="shared" si="22"/>
        <v>Гусакова Алевтина  Андреевна;6-15Ю114/2019;;№6</v>
      </c>
      <c r="F749" s="50" t="b">
        <f t="shared" si="23"/>
        <v>1</v>
      </c>
      <c r="G749" s="50">
        <f>IF($F749,COUNTIF($F$1:$F749,TRUE),"")</f>
        <v>749</v>
      </c>
      <c r="H749" s="50" t="str">
        <f>IFERROR(INDEX(NameStudent,MATCH(ROWS($H$1:$H749),Index,0)),"")</f>
        <v>Гусакова Алевтина  Андреевна;6-15Ю114/2019;;№6</v>
      </c>
    </row>
    <row r="750" spans="1:8" ht="16.149999999999999" customHeight="1" x14ac:dyDescent="0.2">
      <c r="A750" s="72"/>
      <c r="B750" s="73" t="s">
        <v>1556</v>
      </c>
      <c r="C750" s="71" t="s">
        <v>1557</v>
      </c>
      <c r="D750" s="73" t="s">
        <v>55</v>
      </c>
      <c r="E750" s="50" t="str">
        <f t="shared" si="22"/>
        <v>Ботвинникова Анастасия Антоновна;6-18Р135/2019;;№6</v>
      </c>
      <c r="F750" s="50" t="b">
        <f t="shared" si="23"/>
        <v>1</v>
      </c>
      <c r="G750" s="50">
        <f>IF($F750,COUNTIF($F$1:$F750,TRUE),"")</f>
        <v>750</v>
      </c>
      <c r="H750" s="50" t="str">
        <f>IFERROR(INDEX(NameStudent,MATCH(ROWS($H$1:$H750),Index,0)),"")</f>
        <v>Ботвинникова Анастасия Антоновна;6-18Р135/2019;;№6</v>
      </c>
    </row>
    <row r="751" spans="1:8" ht="16.149999999999999" customHeight="1" x14ac:dyDescent="0.2">
      <c r="A751" s="72"/>
      <c r="B751" s="73" t="s">
        <v>1558</v>
      </c>
      <c r="C751" s="71" t="s">
        <v>1559</v>
      </c>
      <c r="D751" s="73" t="s">
        <v>55</v>
      </c>
      <c r="E751" s="50" t="str">
        <f t="shared" si="22"/>
        <v>Норматов Музаффарджон Абдухоликович;6-19М621/2019;;№6</v>
      </c>
      <c r="F751" s="50" t="b">
        <f t="shared" si="23"/>
        <v>1</v>
      </c>
      <c r="G751" s="50">
        <f>IF($F751,COUNTIF($F$1:$F751,TRUE),"")</f>
        <v>751</v>
      </c>
      <c r="H751" s="50" t="str">
        <f>IFERROR(INDEX(NameStudent,MATCH(ROWS($H$1:$H751),Index,0)),"")</f>
        <v>Норматов Музаффарджон Абдухоликович;6-19М621/2019;;№6</v>
      </c>
    </row>
    <row r="752" spans="1:8" ht="16.149999999999999" customHeight="1" x14ac:dyDescent="0.2">
      <c r="A752" s="72"/>
      <c r="B752" s="73" t="s">
        <v>1560</v>
      </c>
      <c r="C752" s="71" t="s">
        <v>1561</v>
      </c>
      <c r="D752" s="73" t="s">
        <v>55</v>
      </c>
      <c r="E752" s="50" t="str">
        <f t="shared" si="22"/>
        <v>Саилович Небойша ;6-19ИМ09/2019;;№6</v>
      </c>
      <c r="F752" s="50" t="b">
        <f t="shared" si="23"/>
        <v>1</v>
      </c>
      <c r="G752" s="50">
        <f>IF($F752,COUNTIF($F$1:$F752,TRUE),"")</f>
        <v>752</v>
      </c>
      <c r="H752" s="50" t="str">
        <f>IFERROR(INDEX(NameStudent,MATCH(ROWS($H$1:$H752),Index,0)),"")</f>
        <v>Саилович Небойша ;6-19ИМ09/2019;;№6</v>
      </c>
    </row>
    <row r="753" spans="1:8" ht="16.149999999999999" customHeight="1" x14ac:dyDescent="0.2">
      <c r="A753" s="72"/>
      <c r="B753" s="73" t="s">
        <v>1562</v>
      </c>
      <c r="C753" s="71" t="s">
        <v>1563</v>
      </c>
      <c r="D753" s="73" t="s">
        <v>55</v>
      </c>
      <c r="E753" s="50" t="str">
        <f t="shared" si="22"/>
        <v>Пильяхо Корелья Борис Марсело;6-ECU-530319/2019;;№6</v>
      </c>
      <c r="F753" s="50" t="b">
        <f t="shared" si="23"/>
        <v>1</v>
      </c>
      <c r="G753" s="50">
        <f>IF($F753,COUNTIF($F$1:$F753,TRUE),"")</f>
        <v>753</v>
      </c>
      <c r="H753" s="50" t="str">
        <f>IFERROR(INDEX(NameStudent,MATCH(ROWS($H$1:$H753),Index,0)),"")</f>
        <v>Пильяхо Корелья Борис Марсело;6-ECU-530319/2019;;№6</v>
      </c>
    </row>
    <row r="754" spans="1:8" ht="16.149999999999999" customHeight="1" x14ac:dyDescent="0.2">
      <c r="A754" s="72"/>
      <c r="B754" s="73" t="s">
        <v>1564</v>
      </c>
      <c r="C754" s="71" t="s">
        <v>1565</v>
      </c>
      <c r="D754" s="73" t="s">
        <v>55</v>
      </c>
      <c r="E754" s="50" t="str">
        <f t="shared" si="22"/>
        <v>Даукаев Руслан Ильнурович;6-16М294/2019;;№6</v>
      </c>
      <c r="F754" s="50" t="b">
        <f t="shared" si="23"/>
        <v>1</v>
      </c>
      <c r="G754" s="50">
        <f>IF($F754,COUNTIF($F$1:$F754,TRUE),"")</f>
        <v>754</v>
      </c>
      <c r="H754" s="50" t="str">
        <f>IFERROR(INDEX(NameStudent,MATCH(ROWS($H$1:$H754),Index,0)),"")</f>
        <v>Даукаев Руслан Ильнурович;6-16М294/2019;;№6</v>
      </c>
    </row>
    <row r="755" spans="1:8" ht="16.149999999999999" customHeight="1" x14ac:dyDescent="0.2">
      <c r="A755" s="72"/>
      <c r="B755" s="73" t="s">
        <v>1567</v>
      </c>
      <c r="C755" s="71" t="s">
        <v>1568</v>
      </c>
      <c r="D755" s="73" t="s">
        <v>55</v>
      </c>
      <c r="E755" s="50" t="str">
        <f t="shared" si="22"/>
        <v>Чуносов Илья Сергеевич;6-19рм017/2019;;№6</v>
      </c>
      <c r="F755" s="50" t="b">
        <f t="shared" si="23"/>
        <v>1</v>
      </c>
      <c r="G755" s="50">
        <f>IF($F755,COUNTIF($F$1:$F755,TRUE),"")</f>
        <v>755</v>
      </c>
      <c r="H755" s="50" t="str">
        <f>IFERROR(INDEX(NameStudent,MATCH(ROWS($H$1:$H755),Index,0)),"")</f>
        <v>Чуносов Илья Сергеевич;6-19рм017/2019;;№6</v>
      </c>
    </row>
    <row r="756" spans="1:8" ht="16.149999999999999" customHeight="1" x14ac:dyDescent="0.2">
      <c r="A756" s="72"/>
      <c r="B756" s="73" t="s">
        <v>1569</v>
      </c>
      <c r="C756" s="71" t="s">
        <v>1570</v>
      </c>
      <c r="D756" s="73" t="s">
        <v>55</v>
      </c>
      <c r="E756" s="50" t="str">
        <f t="shared" si="22"/>
        <v>Алёхина Арина Владимировна;6-15Р097/2019;;№6</v>
      </c>
      <c r="F756" s="50" t="b">
        <f t="shared" si="23"/>
        <v>1</v>
      </c>
      <c r="G756" s="50">
        <f>IF($F756,COUNTIF($F$1:$F756,TRUE),"")</f>
        <v>756</v>
      </c>
      <c r="H756" s="50" t="str">
        <f>IFERROR(INDEX(NameStudent,MATCH(ROWS($H$1:$H756),Index,0)),"")</f>
        <v>Алёхина Арина Владимировна;6-15Р097/2019;;№6</v>
      </c>
    </row>
    <row r="757" spans="1:8" ht="16.149999999999999" customHeight="1" x14ac:dyDescent="0.2">
      <c r="A757" s="72"/>
      <c r="B757" s="73" t="s">
        <v>1571</v>
      </c>
      <c r="C757" s="71" t="s">
        <v>1572</v>
      </c>
      <c r="D757" s="73" t="s">
        <v>55</v>
      </c>
      <c r="E757" s="50" t="str">
        <f t="shared" si="22"/>
        <v>Бабаев Тимур Ильхомович;6-16М027/2019;;№6</v>
      </c>
      <c r="F757" s="50" t="b">
        <f t="shared" si="23"/>
        <v>1</v>
      </c>
      <c r="G757" s="50">
        <f>IF($F757,COUNTIF($F$1:$F757,TRUE),"")</f>
        <v>757</v>
      </c>
      <c r="H757" s="50" t="str">
        <f>IFERROR(INDEX(NameStudent,MATCH(ROWS($H$1:$H757),Index,0)),"")</f>
        <v>Бабаев Тимур Ильхомович;6-16М027/2019;;№6</v>
      </c>
    </row>
    <row r="758" spans="1:8" ht="16.149999999999999" customHeight="1" x14ac:dyDescent="0.2">
      <c r="A758" s="72"/>
      <c r="B758" s="73" t="s">
        <v>1573</v>
      </c>
      <c r="C758" s="71" t="s">
        <v>1574</v>
      </c>
      <c r="D758" s="73" t="s">
        <v>55</v>
      </c>
      <c r="E758" s="50" t="str">
        <f t="shared" si="22"/>
        <v>Нгуен Лео Хоанг ;6-19ИР09/2019;;№6</v>
      </c>
      <c r="F758" s="50" t="b">
        <f t="shared" si="23"/>
        <v>1</v>
      </c>
      <c r="G758" s="50">
        <f>IF($F758,COUNTIF($F$1:$F758,TRUE),"")</f>
        <v>758</v>
      </c>
      <c r="H758" s="50" t="str">
        <f>IFERROR(INDEX(NameStudent,MATCH(ROWS($H$1:$H758),Index,0)),"")</f>
        <v>Нгуен Лео Хоанг ;6-19ИР09/2019;;№6</v>
      </c>
    </row>
    <row r="759" spans="1:8" ht="16.149999999999999" customHeight="1" x14ac:dyDescent="0.2">
      <c r="A759" s="72"/>
      <c r="B759" s="73" t="s">
        <v>1575</v>
      </c>
      <c r="C759" s="71" t="s">
        <v>1576</v>
      </c>
      <c r="D759" s="73" t="s">
        <v>55</v>
      </c>
      <c r="E759" s="50" t="str">
        <f t="shared" si="22"/>
        <v>Новачлы Иван ;6-19РМ702/2019;;№6</v>
      </c>
      <c r="F759" s="50" t="b">
        <f t="shared" si="23"/>
        <v>1</v>
      </c>
      <c r="G759" s="50">
        <f>IF($F759,COUNTIF($F$1:$F759,TRUE),"")</f>
        <v>759</v>
      </c>
      <c r="H759" s="50" t="str">
        <f>IFERROR(INDEX(NameStudent,MATCH(ROWS($H$1:$H759),Index,0)),"")</f>
        <v>Новачлы Иван ;6-19РМ702/2019;;№6</v>
      </c>
    </row>
    <row r="760" spans="1:8" ht="16.149999999999999" customHeight="1" x14ac:dyDescent="0.2">
      <c r="A760" s="72"/>
      <c r="B760" s="73" t="s">
        <v>1577</v>
      </c>
      <c r="C760" s="71" t="s">
        <v>1578</v>
      </c>
      <c r="D760" s="73" t="s">
        <v>55</v>
      </c>
      <c r="E760" s="50" t="str">
        <f t="shared" si="22"/>
        <v>Пильяхо Корелья Борис Марсело ;6-19ИР134/2019;;№6</v>
      </c>
      <c r="F760" s="50" t="b">
        <f t="shared" si="23"/>
        <v>1</v>
      </c>
      <c r="G760" s="50">
        <f>IF($F760,COUNTIF($F$1:$F760,TRUE),"")</f>
        <v>760</v>
      </c>
      <c r="H760" s="50" t="str">
        <f>IFERROR(INDEX(NameStudent,MATCH(ROWS($H$1:$H760),Index,0)),"")</f>
        <v>Пильяхо Корелья Борис Марсело ;6-19ИР134/2019;;№6</v>
      </c>
    </row>
    <row r="761" spans="1:8" ht="16.149999999999999" customHeight="1" x14ac:dyDescent="0.2">
      <c r="A761" s="72"/>
      <c r="B761" s="73" t="s">
        <v>1579</v>
      </c>
      <c r="C761" s="71" t="s">
        <v>1580</v>
      </c>
      <c r="D761" s="73" t="s">
        <v>55</v>
      </c>
      <c r="E761" s="50" t="str">
        <f t="shared" si="22"/>
        <v>Щурко Кристиан ;6-19Р602/2019;;№6</v>
      </c>
      <c r="F761" s="50" t="b">
        <f t="shared" si="23"/>
        <v>1</v>
      </c>
      <c r="G761" s="50">
        <f>IF($F761,COUNTIF($F$1:$F761,TRUE),"")</f>
        <v>761</v>
      </c>
      <c r="H761" s="50" t="str">
        <f>IFERROR(INDEX(NameStudent,MATCH(ROWS($H$1:$H761),Index,0)),"")</f>
        <v>Щурко Кристиан ;6-19Р602/2019;;№6</v>
      </c>
    </row>
    <row r="762" spans="1:8" ht="16.149999999999999" customHeight="1" x14ac:dyDescent="0.2">
      <c r="A762" s="72"/>
      <c r="B762" s="73" t="s">
        <v>1581</v>
      </c>
      <c r="C762" s="71" t="s">
        <v>1582</v>
      </c>
      <c r="D762" s="73" t="s">
        <v>55</v>
      </c>
      <c r="E762" s="50" t="str">
        <f t="shared" si="22"/>
        <v>Панагодаге Ачита Бодака ;6-19ИМ08/2019;;№6</v>
      </c>
      <c r="F762" s="50" t="b">
        <f t="shared" si="23"/>
        <v>1</v>
      </c>
      <c r="G762" s="50">
        <f>IF($F762,COUNTIF($F$1:$F762,TRUE),"")</f>
        <v>762</v>
      </c>
      <c r="H762" s="50" t="str">
        <f>IFERROR(INDEX(NameStudent,MATCH(ROWS($H$1:$H762),Index,0)),"")</f>
        <v>Панагодаге Ачита Бодака ;6-19ИМ08/2019;;№6</v>
      </c>
    </row>
    <row r="763" spans="1:8" ht="16.149999999999999" customHeight="1" x14ac:dyDescent="0.2">
      <c r="A763" s="72"/>
      <c r="B763" s="73" t="s">
        <v>1583</v>
      </c>
      <c r="C763" s="71" t="s">
        <v>1584</v>
      </c>
      <c r="D763" s="73" t="s">
        <v>55</v>
      </c>
      <c r="E763" s="50" t="str">
        <f t="shared" si="22"/>
        <v>Симунью Эльвина Рувимбо ;6-19ИР11/2019;;№6</v>
      </c>
      <c r="F763" s="50" t="b">
        <f t="shared" si="23"/>
        <v>1</v>
      </c>
      <c r="G763" s="50">
        <f>IF($F763,COUNTIF($F$1:$F763,TRUE),"")</f>
        <v>763</v>
      </c>
      <c r="H763" s="50" t="str">
        <f>IFERROR(INDEX(NameStudent,MATCH(ROWS($H$1:$H763),Index,0)),"")</f>
        <v>Симунью Эльвина Рувимбо ;6-19ИР11/2019;;№6</v>
      </c>
    </row>
    <row r="764" spans="1:8" ht="16.149999999999999" customHeight="1" x14ac:dyDescent="0.2">
      <c r="A764" s="72"/>
      <c r="B764" s="73" t="s">
        <v>1585</v>
      </c>
      <c r="C764" s="71" t="s">
        <v>1586</v>
      </c>
      <c r="D764" s="73" t="s">
        <v>55</v>
      </c>
      <c r="E764" s="50" t="str">
        <f t="shared" si="22"/>
        <v>Фунду Кимбатса Берия Префна ;6-19ИР136/2019;;№6</v>
      </c>
      <c r="F764" s="50" t="b">
        <f t="shared" si="23"/>
        <v>1</v>
      </c>
      <c r="G764" s="50">
        <f>IF($F764,COUNTIF($F$1:$F764,TRUE),"")</f>
        <v>764</v>
      </c>
      <c r="H764" s="50" t="str">
        <f>IFERROR(INDEX(NameStudent,MATCH(ROWS($H$1:$H764),Index,0)),"")</f>
        <v>Фунду Кимбатса Берия Префна ;6-19ИР136/2019;;№6</v>
      </c>
    </row>
    <row r="765" spans="1:8" ht="16.149999999999999" customHeight="1" x14ac:dyDescent="0.2">
      <c r="A765" s="72"/>
      <c r="B765" s="73" t="s">
        <v>1587</v>
      </c>
      <c r="C765" s="71" t="s">
        <v>1588</v>
      </c>
      <c r="D765" s="73" t="s">
        <v>55</v>
      </c>
      <c r="E765" s="50" t="str">
        <f t="shared" si="22"/>
        <v>Нгуен Ван Нят Хью ;6-19ИР02/2019;;№6</v>
      </c>
      <c r="F765" s="50" t="b">
        <f t="shared" si="23"/>
        <v>1</v>
      </c>
      <c r="G765" s="50">
        <f>IF($F765,COUNTIF($F$1:$F765,TRUE),"")</f>
        <v>765</v>
      </c>
      <c r="H765" s="50" t="str">
        <f>IFERROR(INDEX(NameStudent,MATCH(ROWS($H$1:$H765),Index,0)),"")</f>
        <v>Нгуен Ван Нят Хью ;6-19ИР02/2019;;№6</v>
      </c>
    </row>
    <row r="766" spans="1:8" ht="16.149999999999999" customHeight="1" x14ac:dyDescent="0.2">
      <c r="A766" s="72"/>
      <c r="B766" s="73" t="s">
        <v>1589</v>
      </c>
      <c r="C766" s="71" t="s">
        <v>1590</v>
      </c>
      <c r="D766" s="73" t="s">
        <v>55</v>
      </c>
      <c r="E766" s="50" t="str">
        <f t="shared" si="22"/>
        <v>Богданов Артем ;6-19Р601/2019;;№6</v>
      </c>
      <c r="F766" s="50" t="b">
        <f t="shared" si="23"/>
        <v>1</v>
      </c>
      <c r="G766" s="50">
        <f>IF($F766,COUNTIF($F$1:$F766,TRUE),"")</f>
        <v>766</v>
      </c>
      <c r="H766" s="50" t="str">
        <f>IFERROR(INDEX(NameStudent,MATCH(ROWS($H$1:$H766),Index,0)),"")</f>
        <v>Богданов Артем ;6-19Р601/2019;;№6</v>
      </c>
    </row>
    <row r="767" spans="1:8" ht="16.149999999999999" customHeight="1" x14ac:dyDescent="0.2">
      <c r="A767" s="72"/>
      <c r="B767" s="73" t="s">
        <v>1591</v>
      </c>
      <c r="C767" s="71" t="s">
        <v>1592</v>
      </c>
      <c r="D767" s="73" t="s">
        <v>55</v>
      </c>
      <c r="E767" s="50" t="str">
        <f t="shared" si="22"/>
        <v>Джонак Мохаммад Шах Джалал Уддин ;6-19ИМ12/2019;;№6</v>
      </c>
      <c r="F767" s="50" t="b">
        <f t="shared" si="23"/>
        <v>1</v>
      </c>
      <c r="G767" s="50">
        <f>IF($F767,COUNTIF($F$1:$F767,TRUE),"")</f>
        <v>767</v>
      </c>
      <c r="H767" s="50" t="str">
        <f>IFERROR(INDEX(NameStudent,MATCH(ROWS($H$1:$H767),Index,0)),"")</f>
        <v>Джонак Мохаммад Шах Джалал Уддин ;6-19ИМ12/2019;;№6</v>
      </c>
    </row>
    <row r="768" spans="1:8" ht="16.149999999999999" customHeight="1" x14ac:dyDescent="0.2">
      <c r="A768" s="72"/>
      <c r="B768" s="73" t="s">
        <v>1593</v>
      </c>
      <c r="C768" s="71" t="s">
        <v>1594</v>
      </c>
      <c r="D768" s="73" t="s">
        <v>55</v>
      </c>
      <c r="E768" s="50" t="str">
        <f t="shared" si="22"/>
        <v>Ци  Синь ;6-19ИР07/2019;;№6</v>
      </c>
      <c r="F768" s="50" t="b">
        <f t="shared" si="23"/>
        <v>1</v>
      </c>
      <c r="G768" s="50">
        <f>IF($F768,COUNTIF($F$1:$F768,TRUE),"")</f>
        <v>768</v>
      </c>
      <c r="H768" s="50" t="str">
        <f>IFERROR(INDEX(NameStudent,MATCH(ROWS($H$1:$H768),Index,0)),"")</f>
        <v>Ци  Синь ;6-19ИР07/2019;;№6</v>
      </c>
    </row>
    <row r="769" spans="1:8" ht="16.149999999999999" customHeight="1" x14ac:dyDescent="0.2">
      <c r="A769" s="72"/>
      <c r="B769" s="73" t="s">
        <v>1595</v>
      </c>
      <c r="C769" s="71" t="s">
        <v>1596</v>
      </c>
      <c r="D769" s="73" t="s">
        <v>55</v>
      </c>
      <c r="E769" s="50" t="str">
        <f t="shared" ref="E769:E832" si="24">LEFT(C769,IF(ISERROR(FIND(":",C769))=TRUE,LEN(C769),FIND(":",C769)-1)) &amp; ";" &amp; B769 &amp; ";" &amp; A769 &amp; ";" &amp;D769</f>
        <v>Исмоилов Дилшоджон ;6-19У955/2019;;№6</v>
      </c>
      <c r="F769" s="50" t="b">
        <f t="shared" ref="F769:F832" si="25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Исмоилов Дилшоджон ;6-19У955/2019;;№6</v>
      </c>
    </row>
    <row r="770" spans="1:8" ht="16.149999999999999" customHeight="1" x14ac:dyDescent="0.2">
      <c r="A770" s="72"/>
      <c r="B770" s="73" t="s">
        <v>1597</v>
      </c>
      <c r="C770" s="71" t="s">
        <v>1598</v>
      </c>
      <c r="D770" s="73" t="s">
        <v>55</v>
      </c>
      <c r="E770" s="50" t="str">
        <f t="shared" si="24"/>
        <v>Чэнь Пэн ;6-19ИР06/2019;;№6</v>
      </c>
      <c r="F770" s="50" t="b">
        <f t="shared" si="25"/>
        <v>1</v>
      </c>
      <c r="G770" s="50">
        <f>IF($F770,COUNTIF($F$1:$F770,TRUE),"")</f>
        <v>770</v>
      </c>
      <c r="H770" s="50" t="str">
        <f>IFERROR(INDEX(NameStudent,MATCH(ROWS($H$1:$H770),Index,0)),"")</f>
        <v>Чэнь Пэн ;6-19ИР06/2019;;№6</v>
      </c>
    </row>
    <row r="771" spans="1:8" ht="16.149999999999999" customHeight="1" x14ac:dyDescent="0.2">
      <c r="A771" s="72"/>
      <c r="B771" s="73" t="s">
        <v>1599</v>
      </c>
      <c r="C771" s="71" t="s">
        <v>1600</v>
      </c>
      <c r="D771" s="73" t="s">
        <v>55</v>
      </c>
      <c r="E771" s="50" t="str">
        <f t="shared" si="24"/>
        <v>Тянь Шинцзе ;6-19ИР01/2019;;№6</v>
      </c>
      <c r="F771" s="50" t="b">
        <f t="shared" si="25"/>
        <v>1</v>
      </c>
      <c r="G771" s="50">
        <f>IF($F771,COUNTIF($F$1:$F771,TRUE),"")</f>
        <v>771</v>
      </c>
      <c r="H771" s="50" t="str">
        <f>IFERROR(INDEX(NameStudent,MATCH(ROWS($H$1:$H771),Index,0)),"")</f>
        <v>Тянь Шинцзе ;6-19ИР01/2019;;№6</v>
      </c>
    </row>
    <row r="772" spans="1:8" ht="16.149999999999999" customHeight="1" x14ac:dyDescent="0.2">
      <c r="A772" s="72"/>
      <c r="B772" s="73" t="s">
        <v>1601</v>
      </c>
      <c r="C772" s="71" t="s">
        <v>1602</v>
      </c>
      <c r="D772" s="73" t="s">
        <v>55</v>
      </c>
      <c r="E772" s="50" t="str">
        <f t="shared" si="24"/>
        <v>Сюй Хунтао ;6-19ИР03/2019;;№6</v>
      </c>
      <c r="F772" s="50" t="b">
        <f t="shared" si="25"/>
        <v>1</v>
      </c>
      <c r="G772" s="50">
        <f>IF($F772,COUNTIF($F$1:$F772,TRUE),"")</f>
        <v>772</v>
      </c>
      <c r="H772" s="50" t="str">
        <f>IFERROR(INDEX(NameStudent,MATCH(ROWS($H$1:$H772),Index,0)),"")</f>
        <v>Сюй Хунтао ;6-19ИР03/2019;;№6</v>
      </c>
    </row>
    <row r="773" spans="1:8" ht="16.149999999999999" customHeight="1" x14ac:dyDescent="0.2">
      <c r="A773" s="72"/>
      <c r="B773" s="73" t="s">
        <v>1603</v>
      </c>
      <c r="C773" s="71" t="s">
        <v>1604</v>
      </c>
      <c r="D773" s="73" t="s">
        <v>55</v>
      </c>
      <c r="E773" s="50" t="str">
        <f t="shared" si="24"/>
        <v>У  Тинвэй ;6-19ИР04/2019;;№6</v>
      </c>
      <c r="F773" s="50" t="b">
        <f t="shared" si="25"/>
        <v>1</v>
      </c>
      <c r="G773" s="50">
        <f>IF($F773,COUNTIF($F$1:$F773,TRUE),"")</f>
        <v>773</v>
      </c>
      <c r="H773" s="50" t="str">
        <f>IFERROR(INDEX(NameStudent,MATCH(ROWS($H$1:$H773),Index,0)),"")</f>
        <v>У  Тинвэй ;6-19ИР04/2019;;№6</v>
      </c>
    </row>
    <row r="774" spans="1:8" ht="16.149999999999999" customHeight="1" x14ac:dyDescent="0.2">
      <c r="A774" s="72"/>
      <c r="B774" s="73" t="s">
        <v>1605</v>
      </c>
      <c r="C774" s="71" t="s">
        <v>1606</v>
      </c>
      <c r="D774" s="73" t="s">
        <v>55</v>
      </c>
      <c r="E774" s="50" t="str">
        <f t="shared" si="24"/>
        <v>Шэн  Сюй ;6-19ИР05/2019;;№6</v>
      </c>
      <c r="F774" s="50" t="b">
        <f t="shared" si="25"/>
        <v>1</v>
      </c>
      <c r="G774" s="50">
        <f>IF($F774,COUNTIF($F$1:$F774,TRUE),"")</f>
        <v>774</v>
      </c>
      <c r="H774" s="50" t="str">
        <f>IFERROR(INDEX(NameStudent,MATCH(ROWS($H$1:$H774),Index,0)),"")</f>
        <v>Шэн  Сюй ;6-19ИР05/2019;;№6</v>
      </c>
    </row>
    <row r="775" spans="1:8" ht="16.149999999999999" customHeight="1" x14ac:dyDescent="0.2">
      <c r="A775" s="72"/>
      <c r="B775" s="73" t="s">
        <v>1607</v>
      </c>
      <c r="C775" s="71" t="s">
        <v>1608</v>
      </c>
      <c r="D775" s="73" t="s">
        <v>55</v>
      </c>
      <c r="E775" s="50" t="str">
        <f t="shared" si="24"/>
        <v>Кичибеков Шамиль Вагиф оглы;6-19РМ701/2019;;№6</v>
      </c>
      <c r="F775" s="50" t="b">
        <f t="shared" si="25"/>
        <v>1</v>
      </c>
      <c r="G775" s="50">
        <f>IF($F775,COUNTIF($F$1:$F775,TRUE),"")</f>
        <v>775</v>
      </c>
      <c r="H775" s="50" t="str">
        <f>IFERROR(INDEX(NameStudent,MATCH(ROWS($H$1:$H775),Index,0)),"")</f>
        <v>Кичибеков Шамиль Вагиф оглы;6-19РМ701/2019;;№6</v>
      </c>
    </row>
    <row r="776" spans="1:8" ht="16.149999999999999" customHeight="1" x14ac:dyDescent="0.2">
      <c r="A776" s="72"/>
      <c r="B776" s="73" t="s">
        <v>1609</v>
      </c>
      <c r="C776" s="71" t="s">
        <v>1610</v>
      </c>
      <c r="D776" s="73" t="s">
        <v>55</v>
      </c>
      <c r="E776" s="50" t="str">
        <f t="shared" si="24"/>
        <v>Кожевников Дмитрий Евгеньевич;6-16Р224/2019;;№6</v>
      </c>
      <c r="F776" s="50" t="b">
        <f t="shared" si="25"/>
        <v>1</v>
      </c>
      <c r="G776" s="50">
        <f>IF($F776,COUNTIF($F$1:$F776,TRUE),"")</f>
        <v>776</v>
      </c>
      <c r="H776" s="50" t="str">
        <f>IFERROR(INDEX(NameStudent,MATCH(ROWS($H$1:$H776),Index,0)),"")</f>
        <v>Кожевников Дмитрий Евгеньевич;6-16Р224/2019;;№6</v>
      </c>
    </row>
    <row r="777" spans="1:8" ht="16.149999999999999" customHeight="1" x14ac:dyDescent="0.2">
      <c r="A777" s="72"/>
      <c r="B777" s="73" t="s">
        <v>1579</v>
      </c>
      <c r="C777" s="71" t="s">
        <v>1611</v>
      </c>
      <c r="D777" s="73" t="s">
        <v>55</v>
      </c>
      <c r="E777" s="50" t="str">
        <f t="shared" si="24"/>
        <v>Лисицына Анастасия Эдуардовна;6-19Р602/2019;;№6</v>
      </c>
      <c r="F777" s="50" t="b">
        <f t="shared" si="25"/>
        <v>1</v>
      </c>
      <c r="G777" s="50">
        <f>IF($F777,COUNTIF($F$1:$F777,TRUE),"")</f>
        <v>777</v>
      </c>
      <c r="H777" s="50" t="str">
        <f>IFERROR(INDEX(NameStudent,MATCH(ROWS($H$1:$H777),Index,0)),"")</f>
        <v>Лисицына Анастасия Эдуардовна;6-19Р602/2019;;№6</v>
      </c>
    </row>
    <row r="778" spans="1:8" ht="16.149999999999999" customHeight="1" x14ac:dyDescent="0.2">
      <c r="A778" s="72"/>
      <c r="B778" s="73" t="s">
        <v>1579</v>
      </c>
      <c r="C778" s="71" t="s">
        <v>1612</v>
      </c>
      <c r="D778" s="73" t="s">
        <v>55</v>
      </c>
      <c r="E778" s="50" t="str">
        <f t="shared" si="24"/>
        <v>Бардашов Артем Александрович;6-19Р602/2019;;№6</v>
      </c>
      <c r="F778" s="50" t="b">
        <f t="shared" si="25"/>
        <v>1</v>
      </c>
      <c r="G778" s="50">
        <f>IF($F778,COUNTIF($F$1:$F778,TRUE),"")</f>
        <v>778</v>
      </c>
      <c r="H778" s="50" t="str">
        <f>IFERROR(INDEX(NameStudent,MATCH(ROWS($H$1:$H778),Index,0)),"")</f>
        <v>Бардашов Артем Александрович;6-19Р602/2019;;№6</v>
      </c>
    </row>
    <row r="779" spans="1:8" ht="16.149999999999999" customHeight="1" x14ac:dyDescent="0.2">
      <c r="A779" s="72"/>
      <c r="B779" s="73" t="s">
        <v>1614</v>
      </c>
      <c r="C779" s="71" t="s">
        <v>1615</v>
      </c>
      <c r="D779" s="73" t="s">
        <v>55</v>
      </c>
      <c r="E779" s="50" t="str">
        <f t="shared" si="24"/>
        <v>Донцова Дарья Васильевна;6-19Т438/2019;;№6</v>
      </c>
      <c r="F779" s="50" t="b">
        <f t="shared" si="25"/>
        <v>1</v>
      </c>
      <c r="G779" s="50">
        <f>IF($F779,COUNTIF($F$1:$F779,TRUE),"")</f>
        <v>779</v>
      </c>
      <c r="H779" s="50" t="str">
        <f>IFERROR(INDEX(NameStudent,MATCH(ROWS($H$1:$H779),Index,0)),"")</f>
        <v>Донцова Дарья Васильевна;6-19Т438/2019;;№6</v>
      </c>
    </row>
    <row r="780" spans="1:8" ht="16.149999999999999" customHeight="1" x14ac:dyDescent="0.2">
      <c r="A780" s="72"/>
      <c r="B780" s="73" t="s">
        <v>1616</v>
      </c>
      <c r="C780" s="71" t="s">
        <v>1617</v>
      </c>
      <c r="D780" s="73" t="s">
        <v>55</v>
      </c>
      <c r="E780" s="50" t="str">
        <f t="shared" si="24"/>
        <v>Ганиева Элина Айдаровна;6-15Ю051/2019;;№6</v>
      </c>
      <c r="F780" s="50" t="b">
        <f t="shared" si="25"/>
        <v>1</v>
      </c>
      <c r="G780" s="50">
        <f>IF($F780,COUNTIF($F$1:$F780,TRUE),"")</f>
        <v>780</v>
      </c>
      <c r="H780" s="50" t="str">
        <f>IFERROR(INDEX(NameStudent,MATCH(ROWS($H$1:$H780),Index,0)),"")</f>
        <v>Ганиева Элина Айдаровна;6-15Ю051/2019;;№6</v>
      </c>
    </row>
    <row r="781" spans="1:8" ht="16.149999999999999" customHeight="1" x14ac:dyDescent="0.2">
      <c r="A781" s="72"/>
      <c r="B781" s="73" t="s">
        <v>1618</v>
      </c>
      <c r="C781" s="71" t="s">
        <v>1619</v>
      </c>
      <c r="D781" s="73" t="s">
        <v>55</v>
      </c>
      <c r="E781" s="50" t="str">
        <f t="shared" si="24"/>
        <v>Крехтунова Дарья Дмитриевна;6-18Р179/2019;;№6</v>
      </c>
      <c r="F781" s="50" t="b">
        <f t="shared" si="25"/>
        <v>1</v>
      </c>
      <c r="G781" s="50">
        <f>IF($F781,COUNTIF($F$1:$F781,TRUE),"")</f>
        <v>781</v>
      </c>
      <c r="H781" s="50" t="str">
        <f>IFERROR(INDEX(NameStudent,MATCH(ROWS($H$1:$H781),Index,0)),"")</f>
        <v>Крехтунова Дарья Дмитриевна;6-18Р179/2019;;№6</v>
      </c>
    </row>
    <row r="782" spans="1:8" ht="16.149999999999999" customHeight="1" x14ac:dyDescent="0.2">
      <c r="A782" s="72"/>
      <c r="B782" s="73" t="s">
        <v>1620</v>
      </c>
      <c r="C782" s="71" t="s">
        <v>1621</v>
      </c>
      <c r="D782" s="73" t="s">
        <v>55</v>
      </c>
      <c r="E782" s="50" t="str">
        <f t="shared" si="24"/>
        <v>Надоров Иван Васильевич;6-16М379/2019;;№6</v>
      </c>
      <c r="F782" s="50" t="b">
        <f t="shared" si="25"/>
        <v>1</v>
      </c>
      <c r="G782" s="50">
        <f>IF($F782,COUNTIF($F$1:$F782,TRUE),"")</f>
        <v>782</v>
      </c>
      <c r="H782" s="50" t="str">
        <f>IFERROR(INDEX(NameStudent,MATCH(ROWS($H$1:$H782),Index,0)),"")</f>
        <v>Надоров Иван Васильевич;6-16М379/2019;;№6</v>
      </c>
    </row>
    <row r="783" spans="1:8" ht="16.149999999999999" customHeight="1" x14ac:dyDescent="0.2">
      <c r="A783" s="72"/>
      <c r="B783" s="73" t="s">
        <v>1622</v>
      </c>
      <c r="C783" s="71" t="s">
        <v>1623</v>
      </c>
      <c r="D783" s="73" t="s">
        <v>55</v>
      </c>
      <c r="E783" s="50" t="str">
        <f t="shared" si="24"/>
        <v>Рудь Дмитрий Вячеславович;6-17М164/2019;;№6</v>
      </c>
      <c r="F783" s="50" t="b">
        <f t="shared" si="25"/>
        <v>1</v>
      </c>
      <c r="G783" s="50">
        <f>IF($F783,COUNTIF($F$1:$F783,TRUE),"")</f>
        <v>783</v>
      </c>
      <c r="H783" s="50" t="str">
        <f>IFERROR(INDEX(NameStudent,MATCH(ROWS($H$1:$H783),Index,0)),"")</f>
        <v>Рудь Дмитрий Вячеславович;6-17М164/2019;;№6</v>
      </c>
    </row>
    <row r="784" spans="1:8" ht="16.149999999999999" customHeight="1" x14ac:dyDescent="0.2">
      <c r="A784" s="72"/>
      <c r="B784" s="73" t="s">
        <v>1624</v>
      </c>
      <c r="C784" s="71" t="s">
        <v>1625</v>
      </c>
      <c r="D784" s="73" t="s">
        <v>55</v>
      </c>
      <c r="E784" s="50" t="str">
        <f t="shared" si="24"/>
        <v>Торгомян Давит Артаваздович;6-18М621/2019;;№6</v>
      </c>
      <c r="F784" s="50" t="b">
        <f t="shared" si="25"/>
        <v>1</v>
      </c>
      <c r="G784" s="50">
        <f>IF($F784,COUNTIF($F$1:$F784,TRUE),"")</f>
        <v>784</v>
      </c>
      <c r="H784" s="50" t="str">
        <f>IFERROR(INDEX(NameStudent,MATCH(ROWS($H$1:$H784),Index,0)),"")</f>
        <v>Торгомян Давит Артаваздович;6-18М621/2019;;№6</v>
      </c>
    </row>
    <row r="785" spans="1:8" ht="16.149999999999999" customHeight="1" x14ac:dyDescent="0.2">
      <c r="A785" s="72"/>
      <c r="B785" s="73" t="s">
        <v>1627</v>
      </c>
      <c r="C785" s="71" t="s">
        <v>1628</v>
      </c>
      <c r="D785" s="73" t="s">
        <v>55</v>
      </c>
      <c r="E785" s="50" t="str">
        <f t="shared" si="24"/>
        <v>Салманов Равил Эвристович;6-19М105/2019;;№6</v>
      </c>
      <c r="F785" s="50" t="b">
        <f t="shared" si="25"/>
        <v>1</v>
      </c>
      <c r="G785" s="50">
        <f>IF($F785,COUNTIF($F$1:$F785,TRUE),"")</f>
        <v>785</v>
      </c>
      <c r="H785" s="50" t="str">
        <f>IFERROR(INDEX(NameStudent,MATCH(ROWS($H$1:$H785),Index,0)),"")</f>
        <v>Салманов Равил Эвристович;6-19М105/2019;;№6</v>
      </c>
    </row>
    <row r="786" spans="1:8" ht="16.149999999999999" customHeight="1" x14ac:dyDescent="0.2">
      <c r="A786" s="72"/>
      <c r="B786" s="73" t="s">
        <v>1629</v>
      </c>
      <c r="C786" s="71" t="s">
        <v>1630</v>
      </c>
      <c r="D786" s="73" t="s">
        <v>55</v>
      </c>
      <c r="E786" s="50" t="str">
        <f t="shared" si="24"/>
        <v>Парахин Егор Олегович;6-19М382/2019;;№6</v>
      </c>
      <c r="F786" s="50" t="b">
        <f t="shared" si="25"/>
        <v>1</v>
      </c>
      <c r="G786" s="50">
        <f>IF($F786,COUNTIF($F$1:$F786,TRUE),"")</f>
        <v>786</v>
      </c>
      <c r="H786" s="50" t="str">
        <f>IFERROR(INDEX(NameStudent,MATCH(ROWS($H$1:$H786),Index,0)),"")</f>
        <v>Парахин Егор Олегович;6-19М382/2019;;№6</v>
      </c>
    </row>
    <row r="787" spans="1:8" ht="16.149999999999999" customHeight="1" x14ac:dyDescent="0.2">
      <c r="A787" s="72"/>
      <c r="B787" s="73" t="s">
        <v>1631</v>
      </c>
      <c r="C787" s="71" t="s">
        <v>1632</v>
      </c>
      <c r="D787" s="73" t="s">
        <v>55</v>
      </c>
      <c r="E787" s="50" t="str">
        <f t="shared" si="24"/>
        <v>Шумейко Никита Сергеевич;6-16М213/2019;;№6</v>
      </c>
      <c r="F787" s="50" t="b">
        <f t="shared" si="25"/>
        <v>1</v>
      </c>
      <c r="G787" s="50">
        <f>IF($F787,COUNTIF($F$1:$F787,TRUE),"")</f>
        <v>787</v>
      </c>
      <c r="H787" s="50" t="str">
        <f>IFERROR(INDEX(NameStudent,MATCH(ROWS($H$1:$H787),Index,0)),"")</f>
        <v>Шумейко Никита Сергеевич;6-16М213/2019;;№6</v>
      </c>
    </row>
    <row r="788" spans="1:8" ht="16.149999999999999" customHeight="1" x14ac:dyDescent="0.2">
      <c r="A788" s="72"/>
      <c r="B788" s="73" t="s">
        <v>1633</v>
      </c>
      <c r="C788" s="71" t="s">
        <v>1634</v>
      </c>
      <c r="D788" s="73" t="s">
        <v>55</v>
      </c>
      <c r="E788" s="50" t="str">
        <f t="shared" si="24"/>
        <v>Долгов  Александр Евгеньевич;6-16М300/2019;;№6</v>
      </c>
      <c r="F788" s="50" t="b">
        <f t="shared" si="25"/>
        <v>1</v>
      </c>
      <c r="G788" s="50">
        <f>IF($F788,COUNTIF($F$1:$F788,TRUE),"")</f>
        <v>788</v>
      </c>
      <c r="H788" s="50" t="str">
        <f>IFERROR(INDEX(NameStudent,MATCH(ROWS($H$1:$H788),Index,0)),"")</f>
        <v>Долгов  Александр Евгеньевич;6-16М300/2019;;№6</v>
      </c>
    </row>
    <row r="789" spans="1:8" ht="16.149999999999999" customHeight="1" x14ac:dyDescent="0.2">
      <c r="A789" s="72"/>
      <c r="B789" s="73" t="s">
        <v>1246</v>
      </c>
      <c r="C789" s="71" t="s">
        <v>1247</v>
      </c>
      <c r="D789" s="73" t="s">
        <v>55</v>
      </c>
      <c r="E789" s="50" t="str">
        <f>LEFT(C789,IF(ISERROR(FIND(":",C789))=TRUE,LEN(C789),FIND(":",C789)-1)) &amp; ";" &amp; B789 &amp; ";" &amp; A789 &amp; ";" &amp;D789</f>
        <v>Домнина Ольга Александровна;6-19Р043/2019;;№6</v>
      </c>
      <c r="F789" s="50" t="b">
        <f t="shared" ref="F789" si="26">NOT(ISERROR(SEARCH(Student,$E789)))</f>
        <v>1</v>
      </c>
      <c r="G789" s="50">
        <f>IF($F789,COUNTIF($F$1:$F789,TRUE),"")</f>
        <v>789</v>
      </c>
      <c r="H789" s="50" t="str">
        <f>IFERROR(INDEX(NameStudent,MATCH(ROWS($H$1:$H789),Index,0)),"")</f>
        <v>Домнина Ольга Александровна;6-19Р043/2019;;№6</v>
      </c>
    </row>
    <row r="790" spans="1:8" ht="16.149999999999999" customHeight="1" x14ac:dyDescent="0.2">
      <c r="A790" s="72"/>
      <c r="B790" s="73" t="s">
        <v>1635</v>
      </c>
      <c r="C790" s="71" t="s">
        <v>1329</v>
      </c>
      <c r="D790" s="73" t="s">
        <v>55</v>
      </c>
      <c r="E790" s="50" t="str">
        <f t="shared" ref="E790:E791" si="27">LEFT(C790,IF(ISERROR(FIND(":",C790))=TRUE,LEN(C790),FIND(":",C790)-1)) &amp; ";" &amp; B790 &amp; ";" &amp; A790 &amp; ";" &amp;D790</f>
        <v>Максимова Елизавета Геннадьевна;Э-19Р121/2019;;№6</v>
      </c>
      <c r="F790" s="50" t="b">
        <f t="shared" ref="F790" si="28">NOT(ISERROR(SEARCH(Student,$E790)))</f>
        <v>1</v>
      </c>
      <c r="G790" s="50">
        <f>IF($F790,COUNTIF($F$1:$F790,TRUE),"")</f>
        <v>790</v>
      </c>
      <c r="H790" s="50" t="str">
        <f>IFERROR(INDEX(NameStudent,MATCH(ROWS($H$1:$H790),Index,0)),"")</f>
        <v>Максимова Елизавета Геннадьевна;Э-19Р121/2019;;№6</v>
      </c>
    </row>
    <row r="791" spans="1:8" ht="16.149999999999999" customHeight="1" x14ac:dyDescent="0.2">
      <c r="A791" s="72"/>
      <c r="B791" s="73" t="s">
        <v>1636</v>
      </c>
      <c r="C791" s="71" t="s">
        <v>1351</v>
      </c>
      <c r="D791" s="73" t="s">
        <v>55</v>
      </c>
      <c r="E791" s="50" t="str">
        <f t="shared" si="27"/>
        <v>Никуленкова Олеся Вячеславовна;Э-19Р062/2019;;№6</v>
      </c>
      <c r="F791" s="50" t="b">
        <f t="shared" ref="F791" si="29">NOT(ISERROR(SEARCH(Student,$E791)))</f>
        <v>1</v>
      </c>
      <c r="G791" s="50">
        <f>IF($F791,COUNTIF($F$1:$F791,TRUE),"")</f>
        <v>791</v>
      </c>
      <c r="H791" s="50" t="str">
        <f>IFERROR(INDEX(NameStudent,MATCH(ROWS($H$1:$H791),Index,0)),"")</f>
        <v>Никуленкова Олеся Вячеславовна;Э-19Р062/2019;;№6</v>
      </c>
    </row>
    <row r="792" spans="1:8" ht="16.149999999999999" customHeight="1" x14ac:dyDescent="0.2">
      <c r="A792" s="72"/>
      <c r="B792" s="73" t="s">
        <v>1636</v>
      </c>
      <c r="C792" s="71" t="s">
        <v>1637</v>
      </c>
      <c r="D792" s="73" t="s">
        <v>55</v>
      </c>
      <c r="E792" s="50" t="str">
        <f t="shared" si="24"/>
        <v>Пупкин  Максим Шмарович;Э-19Р062/2019;;№6</v>
      </c>
      <c r="F792" s="50" t="b">
        <f t="shared" si="25"/>
        <v>1</v>
      </c>
      <c r="G792" s="50">
        <f>IF($F792,COUNTIF($F$1:$F792,TRUE),"")</f>
        <v>792</v>
      </c>
      <c r="H792" s="50" t="str">
        <f>IFERROR(INDEX(NameStudent,MATCH(ROWS($H$1:$H792),Index,0)),"")</f>
        <v>Пупкин  Максим Шмарович;Э-19Р062/2019;;№6</v>
      </c>
    </row>
    <row r="793" spans="1:8" ht="16.149999999999999" customHeight="1" x14ac:dyDescent="0.2">
      <c r="A793" s="72"/>
      <c r="B793" s="73"/>
      <c r="C793" s="71"/>
      <c r="D793" s="73"/>
      <c r="E793" s="50" t="str">
        <f t="shared" si="24"/>
        <v>;;;</v>
      </c>
      <c r="F793" s="50" t="b">
        <f t="shared" si="25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72"/>
      <c r="B794" s="73"/>
      <c r="C794" s="71"/>
      <c r="D794" s="73"/>
      <c r="E794" s="50" t="str">
        <f t="shared" si="24"/>
        <v>;;;</v>
      </c>
      <c r="F794" s="50" t="b">
        <f t="shared" si="25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72"/>
      <c r="B795" s="73"/>
      <c r="C795" s="71"/>
      <c r="D795" s="73"/>
      <c r="E795" s="50" t="str">
        <f t="shared" si="24"/>
        <v>;;;</v>
      </c>
      <c r="F795" s="50" t="b">
        <f t="shared" si="25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72"/>
      <c r="B796" s="73"/>
      <c r="C796" s="71"/>
      <c r="D796" s="73"/>
      <c r="E796" s="50" t="str">
        <f t="shared" si="24"/>
        <v>;;;</v>
      </c>
      <c r="F796" s="50" t="b">
        <f t="shared" si="25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72"/>
      <c r="B797" s="73"/>
      <c r="C797" s="71"/>
      <c r="D797" s="73"/>
      <c r="E797" s="50" t="str">
        <f t="shared" si="24"/>
        <v>;;;</v>
      </c>
      <c r="F797" s="50" t="b">
        <f t="shared" si="25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72"/>
      <c r="B798" s="73"/>
      <c r="C798" s="71"/>
      <c r="D798" s="73"/>
      <c r="E798" s="50" t="str">
        <f t="shared" si="24"/>
        <v>;;;</v>
      </c>
      <c r="F798" s="50" t="b">
        <f t="shared" si="25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72"/>
      <c r="B799" s="73"/>
      <c r="C799" s="71"/>
      <c r="D799" s="73"/>
      <c r="E799" s="50" t="str">
        <f t="shared" si="24"/>
        <v>;;;</v>
      </c>
      <c r="F799" s="50" t="b">
        <f t="shared" si="25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72"/>
      <c r="B800" s="73"/>
      <c r="C800" s="71"/>
      <c r="D800" s="73"/>
      <c r="E800" s="50" t="str">
        <f t="shared" si="24"/>
        <v>;;;</v>
      </c>
      <c r="F800" s="50" t="b">
        <f t="shared" si="25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72"/>
      <c r="B801" s="73"/>
      <c r="C801" s="71"/>
      <c r="D801" s="73"/>
      <c r="E801" s="50" t="str">
        <f t="shared" si="24"/>
        <v>;;;</v>
      </c>
      <c r="F801" s="50" t="b">
        <f t="shared" si="25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72"/>
      <c r="B802" s="73"/>
      <c r="C802" s="71"/>
      <c r="D802" s="73"/>
      <c r="E802" s="50" t="str">
        <f t="shared" si="24"/>
        <v>;;;</v>
      </c>
      <c r="F802" s="50" t="b">
        <f t="shared" si="25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72"/>
      <c r="B803" s="73"/>
      <c r="C803" s="71"/>
      <c r="D803" s="73"/>
      <c r="E803" s="50" t="str">
        <f t="shared" si="24"/>
        <v>;;;</v>
      </c>
      <c r="F803" s="50" t="b">
        <f t="shared" si="25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72"/>
      <c r="B804" s="73"/>
      <c r="C804" s="71"/>
      <c r="D804" s="73"/>
      <c r="E804" s="50" t="str">
        <f t="shared" si="24"/>
        <v>;;;</v>
      </c>
      <c r="F804" s="50" t="b">
        <f t="shared" si="25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72"/>
      <c r="B805" s="73"/>
      <c r="C805" s="71"/>
      <c r="D805" s="73"/>
      <c r="E805" s="50" t="str">
        <f t="shared" si="24"/>
        <v>;;;</v>
      </c>
      <c r="F805" s="50" t="b">
        <f t="shared" si="25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72"/>
      <c r="B806" s="73"/>
      <c r="C806" s="71"/>
      <c r="D806" s="73"/>
      <c r="E806" s="50" t="str">
        <f t="shared" si="24"/>
        <v>;;;</v>
      </c>
      <c r="F806" s="50" t="b">
        <f t="shared" si="25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72"/>
      <c r="B807" s="73"/>
      <c r="C807" s="71"/>
      <c r="D807" s="73"/>
      <c r="E807" s="50" t="str">
        <f t="shared" si="24"/>
        <v>;;;</v>
      </c>
      <c r="F807" s="50" t="b">
        <f t="shared" si="25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72"/>
      <c r="B808" s="73"/>
      <c r="C808" s="71"/>
      <c r="D808" s="73"/>
      <c r="E808" s="50" t="str">
        <f t="shared" si="24"/>
        <v>;;;</v>
      </c>
      <c r="F808" s="50" t="b">
        <f t="shared" si="25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72"/>
      <c r="B809" s="73"/>
      <c r="C809" s="71"/>
      <c r="D809" s="73"/>
      <c r="E809" s="50" t="str">
        <f t="shared" si="24"/>
        <v>;;;</v>
      </c>
      <c r="F809" s="50" t="b">
        <f t="shared" si="25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72"/>
      <c r="B810" s="73"/>
      <c r="C810" s="71"/>
      <c r="D810" s="73"/>
      <c r="E810" s="50" t="str">
        <f t="shared" si="24"/>
        <v>;;;</v>
      </c>
      <c r="F810" s="50" t="b">
        <f t="shared" si="25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72"/>
      <c r="B811" s="73"/>
      <c r="C811" s="71"/>
      <c r="D811" s="73"/>
      <c r="E811" s="50" t="str">
        <f t="shared" si="24"/>
        <v>;;;</v>
      </c>
      <c r="F811" s="50" t="b">
        <f t="shared" si="25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72"/>
      <c r="B812" s="73"/>
      <c r="C812" s="71"/>
      <c r="D812" s="73"/>
      <c r="E812" s="50" t="str">
        <f t="shared" si="24"/>
        <v>;;;</v>
      </c>
      <c r="F812" s="50" t="b">
        <f t="shared" si="25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72"/>
      <c r="B813" s="73"/>
      <c r="C813" s="71"/>
      <c r="D813" s="73"/>
      <c r="E813" s="50" t="str">
        <f t="shared" si="24"/>
        <v>;;;</v>
      </c>
      <c r="F813" s="50" t="b">
        <f t="shared" si="25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72"/>
      <c r="B814" s="73"/>
      <c r="C814" s="71"/>
      <c r="D814" s="73"/>
      <c r="E814" s="50" t="str">
        <f t="shared" si="24"/>
        <v>;;;</v>
      </c>
      <c r="F814" s="50" t="b">
        <f t="shared" si="25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72"/>
      <c r="B815" s="73"/>
      <c r="C815" s="71"/>
      <c r="D815" s="73"/>
      <c r="E815" s="50" t="str">
        <f t="shared" si="24"/>
        <v>;;;</v>
      </c>
      <c r="F815" s="50" t="b">
        <f t="shared" si="25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72"/>
      <c r="B816" s="73"/>
      <c r="C816" s="71"/>
      <c r="D816" s="73"/>
      <c r="E816" s="50" t="str">
        <f t="shared" si="24"/>
        <v>;;;</v>
      </c>
      <c r="F816" s="50" t="b">
        <f t="shared" si="25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72"/>
      <c r="B817" s="73"/>
      <c r="C817" s="71"/>
      <c r="D817" s="73"/>
      <c r="E817" s="50" t="str">
        <f t="shared" si="24"/>
        <v>;;;</v>
      </c>
      <c r="F817" s="50" t="b">
        <f t="shared" si="25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72"/>
      <c r="B818" s="73"/>
      <c r="C818" s="71"/>
      <c r="D818" s="73"/>
      <c r="E818" s="50" t="str">
        <f t="shared" si="24"/>
        <v>;;;</v>
      </c>
      <c r="F818" s="50" t="b">
        <f t="shared" si="25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4"/>
        <v>;;;</v>
      </c>
      <c r="F819" s="50" t="b">
        <f t="shared" si="25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4"/>
        <v>;;;</v>
      </c>
      <c r="F820" s="50" t="b">
        <f t="shared" si="25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4"/>
        <v>;;;</v>
      </c>
      <c r="F821" s="50" t="b">
        <f t="shared" si="25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4"/>
        <v>;;;</v>
      </c>
      <c r="F822" s="50" t="b">
        <f t="shared" si="25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4"/>
        <v>;;;</v>
      </c>
      <c r="F823" s="50" t="b">
        <f t="shared" si="25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4"/>
        <v>;;;</v>
      </c>
      <c r="F824" s="50" t="b">
        <f t="shared" si="25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4"/>
        <v>;;;</v>
      </c>
      <c r="F825" s="50" t="b">
        <f t="shared" si="25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4"/>
        <v>;;;</v>
      </c>
      <c r="F826" s="50" t="b">
        <f t="shared" si="25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4"/>
        <v>;;;</v>
      </c>
      <c r="F827" s="50" t="b">
        <f t="shared" si="25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4"/>
        <v>;;;</v>
      </c>
      <c r="F828" s="50" t="b">
        <f t="shared" si="25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4"/>
        <v>;;;</v>
      </c>
      <c r="F829" s="50" t="b">
        <f t="shared" si="25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4"/>
        <v>;;;</v>
      </c>
      <c r="F830" s="50" t="b">
        <f t="shared" si="25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4"/>
        <v>;;;</v>
      </c>
      <c r="F831" s="50" t="b">
        <f t="shared" si="25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4"/>
        <v>;;;</v>
      </c>
      <c r="F832" s="50" t="b">
        <f t="shared" si="25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ref="E833:E835" si="30">LEFT(C833,IF(ISERROR(FIND(":",C833))=TRUE,LEN(C833),FIND(":",C833)-1)) &amp; ";" &amp; B833 &amp; ";" &amp; A833 &amp; ";" &amp;D833</f>
        <v>;;;</v>
      </c>
      <c r="F833" s="50" t="b">
        <f t="shared" ref="F833:F896" si="31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30"/>
        <v>;;;</v>
      </c>
      <c r="F834" s="50" t="b">
        <f t="shared" si="31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30"/>
        <v>;;;</v>
      </c>
      <c r="F835" s="50" t="b">
        <f t="shared" si="31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F836" s="50" t="b">
        <f t="shared" si="31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1:8" ht="16.149999999999999" customHeight="1" x14ac:dyDescent="0.2">
      <c r="A837" s="61"/>
      <c r="B837" s="62"/>
      <c r="C837" s="60"/>
      <c r="D837" s="62"/>
      <c r="F837" s="50" t="b">
        <f t="shared" si="31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1:8" ht="16.149999999999999" customHeight="1" x14ac:dyDescent="0.2">
      <c r="A838" s="61"/>
      <c r="B838" s="62"/>
      <c r="C838" s="60"/>
      <c r="D838" s="62"/>
      <c r="F838" s="50" t="b">
        <f t="shared" si="31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1:8" ht="16.149999999999999" customHeight="1" x14ac:dyDescent="0.2">
      <c r="A839" s="61"/>
      <c r="B839" s="62"/>
      <c r="C839" s="60"/>
      <c r="D839" s="62"/>
      <c r="F839" s="50" t="b">
        <f t="shared" si="31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1:8" ht="16.149999999999999" customHeight="1" x14ac:dyDescent="0.2">
      <c r="A840" s="61"/>
      <c r="B840" s="62"/>
      <c r="C840" s="60"/>
      <c r="D840" s="62"/>
      <c r="F840" s="50" t="b">
        <f t="shared" si="31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1:8" ht="16.149999999999999" customHeight="1" x14ac:dyDescent="0.2">
      <c r="A841" s="61"/>
      <c r="B841" s="62"/>
      <c r="C841" s="60"/>
      <c r="D841" s="62"/>
      <c r="F841" s="50" t="b">
        <f t="shared" si="31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1:8" ht="16.149999999999999" customHeight="1" x14ac:dyDescent="0.2">
      <c r="A842" s="61"/>
      <c r="B842" s="62"/>
      <c r="C842" s="60"/>
      <c r="D842" s="62"/>
      <c r="F842" s="50" t="b">
        <f t="shared" si="31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1:8" ht="16.149999999999999" customHeight="1" x14ac:dyDescent="0.2">
      <c r="A843" s="61"/>
      <c r="B843" s="62"/>
      <c r="C843" s="60"/>
      <c r="D843" s="62"/>
      <c r="F843" s="50" t="b">
        <f t="shared" si="31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1:8" ht="16.149999999999999" customHeight="1" x14ac:dyDescent="0.2">
      <c r="A844" s="61"/>
      <c r="B844" s="62"/>
      <c r="C844" s="60"/>
      <c r="D844" s="62"/>
      <c r="F844" s="50" t="b">
        <f t="shared" si="31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1:8" ht="16.149999999999999" customHeight="1" x14ac:dyDescent="0.2">
      <c r="A845" s="61"/>
      <c r="B845" s="62"/>
      <c r="C845" s="60"/>
      <c r="D845" s="62"/>
      <c r="F845" s="50" t="b">
        <f t="shared" si="31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1:8" ht="16.149999999999999" customHeight="1" x14ac:dyDescent="0.2">
      <c r="A846" s="61"/>
      <c r="B846" s="62"/>
      <c r="C846" s="60"/>
      <c r="D846" s="62"/>
      <c r="F846" s="50" t="b">
        <f t="shared" si="31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1:8" ht="16.149999999999999" customHeight="1" x14ac:dyDescent="0.2">
      <c r="A847" s="61"/>
      <c r="B847" s="62"/>
      <c r="C847" s="60"/>
      <c r="D847" s="62"/>
      <c r="F847" s="50" t="b">
        <f t="shared" si="31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1:8" ht="16.149999999999999" customHeight="1" x14ac:dyDescent="0.2">
      <c r="A848" s="61"/>
      <c r="B848" s="62"/>
      <c r="C848" s="60"/>
      <c r="D848" s="62"/>
      <c r="F848" s="50" t="b">
        <f t="shared" si="31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1:8" ht="16.149999999999999" customHeight="1" x14ac:dyDescent="0.2">
      <c r="A849" s="61"/>
      <c r="B849" s="62"/>
      <c r="C849" s="60"/>
      <c r="D849" s="62"/>
      <c r="F849" s="50" t="b">
        <f t="shared" si="31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1:8" ht="16.149999999999999" customHeight="1" x14ac:dyDescent="0.2">
      <c r="A850" s="61"/>
      <c r="B850" s="62"/>
      <c r="C850" s="60"/>
      <c r="D850" s="62"/>
      <c r="F850" s="50" t="b">
        <f t="shared" si="31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1:8" ht="16.149999999999999" customHeight="1" x14ac:dyDescent="0.2">
      <c r="A851" s="61"/>
      <c r="B851" s="62"/>
      <c r="C851" s="60"/>
      <c r="D851" s="62"/>
      <c r="F851" s="50" t="b">
        <f t="shared" si="31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1:8" ht="16.149999999999999" customHeight="1" x14ac:dyDescent="0.2">
      <c r="A852" s="61"/>
      <c r="B852" s="62"/>
      <c r="C852" s="60"/>
      <c r="D852" s="62"/>
      <c r="F852" s="50" t="b">
        <f t="shared" si="31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1:8" ht="16.149999999999999" customHeight="1" x14ac:dyDescent="0.2">
      <c r="A853" s="61"/>
      <c r="B853" s="62"/>
      <c r="C853" s="60"/>
      <c r="D853" s="62"/>
      <c r="F853" s="50" t="b">
        <f t="shared" si="31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1:8" ht="16.149999999999999" customHeight="1" x14ac:dyDescent="0.2">
      <c r="A854" s="61"/>
      <c r="B854" s="62"/>
      <c r="C854" s="60"/>
      <c r="D854" s="62"/>
      <c r="F854" s="50" t="b">
        <f t="shared" si="31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1:8" ht="16.149999999999999" customHeight="1" x14ac:dyDescent="0.2">
      <c r="A855" s="61"/>
      <c r="B855" s="62"/>
      <c r="C855" s="60"/>
      <c r="D855" s="62"/>
      <c r="F855" s="50" t="b">
        <f t="shared" si="31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1:8" ht="16.149999999999999" customHeight="1" x14ac:dyDescent="0.2">
      <c r="A856" s="61"/>
      <c r="B856" s="62"/>
      <c r="C856" s="60"/>
      <c r="D856" s="62"/>
      <c r="F856" s="50" t="b">
        <f t="shared" si="31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1:8" ht="16.149999999999999" customHeight="1" x14ac:dyDescent="0.2">
      <c r="A857" s="61"/>
      <c r="B857" s="62"/>
      <c r="C857" s="60"/>
      <c r="D857" s="62"/>
      <c r="F857" s="50" t="b">
        <f t="shared" si="31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1:8" ht="16.149999999999999" customHeight="1" x14ac:dyDescent="0.2">
      <c r="A858" s="61"/>
      <c r="B858" s="62"/>
      <c r="C858" s="60"/>
      <c r="D858" s="62"/>
      <c r="F858" s="50" t="b">
        <f t="shared" si="31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1:8" ht="16.149999999999999" customHeight="1" x14ac:dyDescent="0.2">
      <c r="A859" s="61"/>
      <c r="B859" s="62"/>
      <c r="C859" s="60"/>
      <c r="D859" s="62"/>
      <c r="F859" s="50" t="b">
        <f t="shared" si="31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1:8" ht="16.149999999999999" customHeight="1" x14ac:dyDescent="0.2">
      <c r="A860" s="61"/>
      <c r="B860" s="62"/>
      <c r="C860" s="60"/>
      <c r="D860" s="62"/>
      <c r="F860" s="50" t="b">
        <f t="shared" si="31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1:8" ht="16.149999999999999" customHeight="1" x14ac:dyDescent="0.2">
      <c r="A861" s="61"/>
      <c r="B861" s="62"/>
      <c r="C861" s="60"/>
      <c r="D861" s="62"/>
      <c r="F861" s="50" t="b">
        <f t="shared" si="31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1:8" ht="16.149999999999999" customHeight="1" x14ac:dyDescent="0.2">
      <c r="A862" s="61"/>
      <c r="B862" s="62"/>
      <c r="C862" s="60"/>
      <c r="D862" s="62"/>
      <c r="F862" s="50" t="b">
        <f t="shared" si="31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1:8" ht="16.149999999999999" customHeight="1" x14ac:dyDescent="0.2">
      <c r="A863" s="61"/>
      <c r="B863" s="62"/>
      <c r="C863" s="60"/>
      <c r="D863" s="62"/>
      <c r="F863" s="50" t="b">
        <f t="shared" si="31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1:8" ht="16.149999999999999" customHeight="1" x14ac:dyDescent="0.2">
      <c r="A864" s="61"/>
      <c r="B864" s="62"/>
      <c r="C864" s="60"/>
      <c r="D864" s="62"/>
      <c r="F864" s="50" t="b">
        <f t="shared" si="31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1:8" ht="16.149999999999999" customHeight="1" x14ac:dyDescent="0.2">
      <c r="A865" s="61"/>
      <c r="B865" s="62"/>
      <c r="C865" s="60"/>
      <c r="D865" s="62"/>
      <c r="F865" s="50" t="b">
        <f t="shared" si="31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1:8" ht="16.149999999999999" customHeight="1" x14ac:dyDescent="0.2">
      <c r="A866" s="61"/>
      <c r="B866" s="62"/>
      <c r="C866" s="60"/>
      <c r="D866" s="62"/>
      <c r="F866" s="50" t="b">
        <f t="shared" si="31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1:8" ht="16.149999999999999" customHeight="1" x14ac:dyDescent="0.2">
      <c r="A867" s="61"/>
      <c r="B867" s="62"/>
      <c r="C867" s="60"/>
      <c r="D867" s="62"/>
      <c r="F867" s="50" t="b">
        <f t="shared" si="31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1:8" ht="16.149999999999999" customHeight="1" x14ac:dyDescent="0.2">
      <c r="A868" s="61"/>
      <c r="B868" s="62"/>
      <c r="C868" s="60"/>
      <c r="D868" s="62"/>
      <c r="F868" s="50" t="b">
        <f t="shared" si="31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1:8" ht="16.149999999999999" customHeight="1" x14ac:dyDescent="0.2">
      <c r="A869" s="61"/>
      <c r="B869" s="62"/>
      <c r="C869" s="60"/>
      <c r="D869" s="62"/>
      <c r="F869" s="50" t="b">
        <f t="shared" si="31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1:8" ht="16.149999999999999" customHeight="1" x14ac:dyDescent="0.2">
      <c r="A870" s="61"/>
      <c r="B870" s="62"/>
      <c r="C870" s="60"/>
      <c r="D870" s="62"/>
      <c r="F870" s="50" t="b">
        <f t="shared" si="31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1:8" ht="16.149999999999999" customHeight="1" x14ac:dyDescent="0.2">
      <c r="A871" s="61"/>
      <c r="B871" s="62"/>
      <c r="C871" s="60"/>
      <c r="D871" s="62"/>
      <c r="F871" s="50" t="b">
        <f t="shared" si="31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1:8" ht="16.149999999999999" customHeight="1" x14ac:dyDescent="0.2">
      <c r="A872" s="61"/>
      <c r="B872" s="62"/>
      <c r="C872" s="60"/>
      <c r="D872" s="62"/>
      <c r="F872" s="50" t="b">
        <f t="shared" si="31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1:8" ht="16.149999999999999" customHeight="1" x14ac:dyDescent="0.2">
      <c r="A873" s="61"/>
      <c r="B873" s="62"/>
      <c r="C873" s="60"/>
      <c r="D873" s="62"/>
      <c r="F873" s="50" t="b">
        <f t="shared" si="31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1:8" ht="16.149999999999999" customHeight="1" x14ac:dyDescent="0.2">
      <c r="A874" s="61"/>
      <c r="B874" s="62"/>
      <c r="C874" s="60"/>
      <c r="D874" s="62"/>
      <c r="F874" s="50" t="b">
        <f t="shared" si="31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1:8" ht="16.149999999999999" customHeight="1" x14ac:dyDescent="0.2">
      <c r="A875" s="61"/>
      <c r="B875" s="62"/>
      <c r="C875" s="60"/>
      <c r="D875" s="62"/>
      <c r="F875" s="50" t="b">
        <f t="shared" si="31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1:8" ht="16.149999999999999" customHeight="1" x14ac:dyDescent="0.2">
      <c r="A876" s="61"/>
      <c r="B876" s="62"/>
      <c r="C876" s="60"/>
      <c r="D876" s="62"/>
      <c r="F876" s="50" t="b">
        <f t="shared" si="31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1:8" ht="16.149999999999999" customHeight="1" x14ac:dyDescent="0.2">
      <c r="A877" s="61"/>
      <c r="B877" s="62"/>
      <c r="C877" s="60"/>
      <c r="D877" s="62"/>
      <c r="F877" s="50" t="b">
        <f t="shared" si="31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1:8" ht="16.149999999999999" customHeight="1" x14ac:dyDescent="0.2">
      <c r="A878" s="61"/>
      <c r="B878" s="62"/>
      <c r="C878" s="60"/>
      <c r="D878" s="62"/>
      <c r="F878" s="50" t="b">
        <f t="shared" si="31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1:8" ht="16.149999999999999" customHeight="1" x14ac:dyDescent="0.2">
      <c r="A879" s="61"/>
      <c r="B879" s="62"/>
      <c r="C879" s="60"/>
      <c r="D879" s="62"/>
      <c r="F879" s="50" t="b">
        <f t="shared" si="31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1:8" ht="16.149999999999999" customHeight="1" x14ac:dyDescent="0.2">
      <c r="A880" s="61"/>
      <c r="B880" s="62"/>
      <c r="C880" s="60"/>
      <c r="D880" s="62"/>
      <c r="F880" s="50" t="b">
        <f t="shared" si="31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1:8" ht="16.149999999999999" customHeight="1" x14ac:dyDescent="0.2">
      <c r="A881" s="61"/>
      <c r="B881" s="62"/>
      <c r="C881" s="60"/>
      <c r="D881" s="62"/>
      <c r="F881" s="50" t="b">
        <f t="shared" si="31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1:8" ht="16.149999999999999" customHeight="1" x14ac:dyDescent="0.2">
      <c r="A882" s="61"/>
      <c r="B882" s="62"/>
      <c r="C882" s="60"/>
      <c r="D882" s="62"/>
      <c r="F882" s="50" t="b">
        <f t="shared" si="31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1:8" ht="16.149999999999999" customHeight="1" x14ac:dyDescent="0.2">
      <c r="A883" s="61"/>
      <c r="B883" s="62"/>
      <c r="C883" s="60"/>
      <c r="D883" s="62"/>
      <c r="F883" s="50" t="b">
        <f t="shared" si="31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1:8" ht="16.149999999999999" customHeight="1" x14ac:dyDescent="0.2">
      <c r="A884" s="61"/>
      <c r="B884" s="62"/>
      <c r="C884" s="60"/>
      <c r="D884" s="62"/>
      <c r="F884" s="50" t="b">
        <f t="shared" si="31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1:8" ht="16.149999999999999" customHeight="1" x14ac:dyDescent="0.2">
      <c r="A885" s="61"/>
      <c r="B885" s="62"/>
      <c r="C885" s="60"/>
      <c r="D885" s="62"/>
      <c r="F885" s="50" t="b">
        <f t="shared" si="31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1:8" ht="16.149999999999999" customHeight="1" x14ac:dyDescent="0.2">
      <c r="A886" s="61"/>
      <c r="B886" s="62"/>
      <c r="C886" s="60"/>
      <c r="D886" s="62"/>
      <c r="F886" s="50" t="b">
        <f t="shared" si="31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1:8" ht="16.149999999999999" customHeight="1" x14ac:dyDescent="0.2">
      <c r="A887" s="61"/>
      <c r="B887" s="62"/>
      <c r="C887" s="60"/>
      <c r="D887" s="62"/>
      <c r="F887" s="50" t="b">
        <f t="shared" si="31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1:8" ht="16.149999999999999" customHeight="1" x14ac:dyDescent="0.2">
      <c r="A888" s="61"/>
      <c r="B888" s="62"/>
      <c r="C888" s="60"/>
      <c r="D888" s="62"/>
      <c r="F888" s="50" t="b">
        <f t="shared" si="31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1:8" ht="16.149999999999999" customHeight="1" x14ac:dyDescent="0.2">
      <c r="A889" s="61"/>
      <c r="B889" s="62"/>
      <c r="C889" s="60"/>
      <c r="D889" s="62"/>
      <c r="F889" s="50" t="b">
        <f t="shared" si="31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1:8" ht="16.149999999999999" customHeight="1" x14ac:dyDescent="0.2">
      <c r="A890" s="61"/>
      <c r="B890" s="62"/>
      <c r="C890" s="60"/>
      <c r="D890" s="62"/>
      <c r="F890" s="50" t="b">
        <f t="shared" si="31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1:8" ht="16.149999999999999" customHeight="1" x14ac:dyDescent="0.2">
      <c r="A891" s="61"/>
      <c r="B891" s="62"/>
      <c r="C891" s="60"/>
      <c r="D891" s="62"/>
      <c r="F891" s="50" t="b">
        <f t="shared" si="31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1:8" ht="16.149999999999999" customHeight="1" x14ac:dyDescent="0.2">
      <c r="A892" s="61"/>
      <c r="B892" s="62"/>
      <c r="C892" s="60"/>
      <c r="D892" s="62"/>
      <c r="F892" s="50" t="b">
        <f t="shared" si="31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1:8" ht="16.149999999999999" customHeight="1" x14ac:dyDescent="0.2">
      <c r="A893" s="61"/>
      <c r="B893" s="62"/>
      <c r="C893" s="60"/>
      <c r="D893" s="62"/>
      <c r="F893" s="50" t="b">
        <f t="shared" si="31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1:8" ht="16.149999999999999" customHeight="1" x14ac:dyDescent="0.2">
      <c r="A894" s="61"/>
      <c r="B894" s="62"/>
      <c r="C894" s="60"/>
      <c r="D894" s="62"/>
      <c r="F894" s="50" t="b">
        <f t="shared" si="31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1:8" ht="16.149999999999999" customHeight="1" x14ac:dyDescent="0.2">
      <c r="A895" s="61"/>
      <c r="B895" s="62"/>
      <c r="C895" s="60"/>
      <c r="D895" s="62"/>
      <c r="F895" s="50" t="b">
        <f t="shared" si="31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1:8" ht="16.149999999999999" customHeight="1" x14ac:dyDescent="0.2">
      <c r="A896" s="61"/>
      <c r="B896" s="62"/>
      <c r="C896" s="60"/>
      <c r="D896" s="62"/>
      <c r="F896" s="50" t="b">
        <f t="shared" si="31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1:8" ht="16.149999999999999" customHeight="1" x14ac:dyDescent="0.2">
      <c r="A897" s="61"/>
      <c r="B897" s="62"/>
      <c r="C897" s="60"/>
      <c r="D897" s="62"/>
      <c r="F897" s="50" t="b">
        <f t="shared" ref="F897:F960" si="32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1:8" ht="16.149999999999999" customHeight="1" x14ac:dyDescent="0.2">
      <c r="A898" s="61"/>
      <c r="B898" s="62"/>
      <c r="C898" s="60"/>
      <c r="D898" s="62"/>
      <c r="F898" s="50" t="b">
        <f t="shared" si="32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1:8" ht="16.149999999999999" customHeight="1" x14ac:dyDescent="0.2">
      <c r="A899" s="61"/>
      <c r="B899" s="62"/>
      <c r="C899" s="60"/>
      <c r="D899" s="62"/>
      <c r="F899" s="50" t="b">
        <f t="shared" si="32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1:8" ht="16.149999999999999" customHeight="1" x14ac:dyDescent="0.2">
      <c r="A900" s="61"/>
      <c r="B900" s="62"/>
      <c r="C900" s="60"/>
      <c r="D900" s="62"/>
      <c r="F900" s="50" t="b">
        <f t="shared" si="32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1:8" ht="16.149999999999999" customHeight="1" x14ac:dyDescent="0.2">
      <c r="A901" s="61"/>
      <c r="B901" s="62"/>
      <c r="C901" s="60"/>
      <c r="D901" s="62"/>
      <c r="F901" s="50" t="b">
        <f t="shared" si="32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1:8" ht="16.149999999999999" customHeight="1" x14ac:dyDescent="0.2">
      <c r="A902" s="61"/>
      <c r="B902" s="62"/>
      <c r="C902" s="60"/>
      <c r="D902" s="62"/>
      <c r="F902" s="50" t="b">
        <f t="shared" si="32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1:8" ht="16.149999999999999" customHeight="1" x14ac:dyDescent="0.2">
      <c r="A903" s="61"/>
      <c r="B903" s="62"/>
      <c r="C903" s="60"/>
      <c r="D903" s="62"/>
      <c r="F903" s="50" t="b">
        <f t="shared" si="32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1:8" ht="16.149999999999999" customHeight="1" x14ac:dyDescent="0.2">
      <c r="A904" s="61"/>
      <c r="B904" s="62"/>
      <c r="C904" s="60"/>
      <c r="D904" s="62"/>
      <c r="F904" s="50" t="b">
        <f t="shared" si="32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1:8" ht="16.149999999999999" customHeight="1" x14ac:dyDescent="0.2">
      <c r="A905" s="61"/>
      <c r="B905" s="62"/>
      <c r="C905" s="60"/>
      <c r="D905" s="62"/>
      <c r="F905" s="50" t="b">
        <f t="shared" si="32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1:8" ht="16.149999999999999" customHeight="1" x14ac:dyDescent="0.2">
      <c r="A906" s="61"/>
      <c r="B906" s="62"/>
      <c r="C906" s="60"/>
      <c r="D906" s="62"/>
      <c r="F906" s="50" t="b">
        <f t="shared" si="32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1:8" ht="16.149999999999999" customHeight="1" x14ac:dyDescent="0.2">
      <c r="A907" s="61"/>
      <c r="B907" s="62"/>
      <c r="C907" s="60"/>
      <c r="D907" s="62"/>
      <c r="F907" s="50" t="b">
        <f t="shared" si="32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1:8" ht="16.149999999999999" customHeight="1" x14ac:dyDescent="0.2">
      <c r="A908" s="61"/>
      <c r="B908" s="62"/>
      <c r="C908" s="60"/>
      <c r="D908" s="62"/>
      <c r="F908" s="50" t="b">
        <f t="shared" si="32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1:8" ht="16.149999999999999" customHeight="1" x14ac:dyDescent="0.2">
      <c r="A909" s="61"/>
      <c r="B909" s="62"/>
      <c r="C909" s="60"/>
      <c r="D909" s="62"/>
      <c r="F909" s="50" t="b">
        <f t="shared" si="32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1:8" ht="16.149999999999999" customHeight="1" x14ac:dyDescent="0.2">
      <c r="A910" s="61"/>
      <c r="B910" s="62"/>
      <c r="C910" s="60"/>
      <c r="D910" s="62"/>
      <c r="F910" s="50" t="b">
        <f t="shared" si="32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1:8" ht="16.149999999999999" customHeight="1" x14ac:dyDescent="0.2">
      <c r="A911" s="61"/>
      <c r="B911" s="62"/>
      <c r="C911" s="60"/>
      <c r="D911" s="62"/>
      <c r="F911" s="50" t="b">
        <f t="shared" si="32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1:8" ht="16.149999999999999" customHeight="1" x14ac:dyDescent="0.2">
      <c r="A912" s="61"/>
      <c r="B912" s="62"/>
      <c r="C912" s="60"/>
      <c r="D912" s="62"/>
      <c r="F912" s="50" t="b">
        <f t="shared" si="32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1:8" ht="16.149999999999999" customHeight="1" x14ac:dyDescent="0.2">
      <c r="A913" s="61"/>
      <c r="B913" s="62"/>
      <c r="C913" s="60"/>
      <c r="D913" s="62"/>
      <c r="F913" s="50" t="b">
        <f t="shared" si="32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1:8" ht="16.149999999999999" customHeight="1" x14ac:dyDescent="0.2">
      <c r="A914" s="61"/>
      <c r="B914" s="62"/>
      <c r="C914" s="60"/>
      <c r="D914" s="62"/>
      <c r="F914" s="50" t="b">
        <f t="shared" si="32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1:8" ht="16.149999999999999" customHeight="1" x14ac:dyDescent="0.2">
      <c r="A915" s="61"/>
      <c r="B915" s="62"/>
      <c r="C915" s="60"/>
      <c r="D915" s="62"/>
      <c r="F915" s="50" t="b">
        <f t="shared" si="32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1:8" ht="16.149999999999999" customHeight="1" x14ac:dyDescent="0.2">
      <c r="A916" s="61"/>
      <c r="B916" s="62"/>
      <c r="C916" s="60"/>
      <c r="D916" s="62"/>
      <c r="F916" s="50" t="b">
        <f t="shared" si="32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1:8" ht="16.149999999999999" customHeight="1" x14ac:dyDescent="0.2">
      <c r="A917" s="61"/>
      <c r="B917" s="62"/>
      <c r="C917" s="60"/>
      <c r="D917" s="62"/>
      <c r="F917" s="50" t="b">
        <f t="shared" si="32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1:8" ht="16.149999999999999" customHeight="1" x14ac:dyDescent="0.2">
      <c r="A918" s="61"/>
      <c r="B918" s="62"/>
      <c r="C918" s="60"/>
      <c r="D918" s="62"/>
      <c r="F918" s="50" t="b">
        <f t="shared" si="32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1:8" ht="16.149999999999999" customHeight="1" x14ac:dyDescent="0.2">
      <c r="A919" s="61"/>
      <c r="B919" s="62"/>
      <c r="C919" s="60"/>
      <c r="D919" s="62"/>
      <c r="F919" s="50" t="b">
        <f t="shared" si="32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1:8" ht="16.149999999999999" customHeight="1" x14ac:dyDescent="0.2">
      <c r="A920" s="61"/>
      <c r="B920" s="62"/>
      <c r="C920" s="60"/>
      <c r="D920" s="62"/>
      <c r="F920" s="50" t="b">
        <f t="shared" si="32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1:8" ht="16.149999999999999" customHeight="1" x14ac:dyDescent="0.2">
      <c r="A921" s="61"/>
      <c r="B921" s="62"/>
      <c r="C921" s="60"/>
      <c r="D921" s="62"/>
      <c r="F921" s="50" t="b">
        <f t="shared" si="32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1:8" ht="16.149999999999999" customHeight="1" x14ac:dyDescent="0.2">
      <c r="A922" s="61"/>
      <c r="B922" s="62"/>
      <c r="C922" s="60"/>
      <c r="D922" s="62"/>
      <c r="F922" s="50" t="b">
        <f t="shared" si="32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1:8" ht="16.149999999999999" customHeight="1" x14ac:dyDescent="0.2">
      <c r="A923" s="61"/>
      <c r="B923" s="62"/>
      <c r="C923" s="60"/>
      <c r="D923" s="62"/>
      <c r="F923" s="50" t="b">
        <f t="shared" si="32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1:8" ht="16.149999999999999" customHeight="1" x14ac:dyDescent="0.2">
      <c r="A924" s="61"/>
      <c r="B924" s="62"/>
      <c r="C924" s="60"/>
      <c r="D924" s="62"/>
      <c r="F924" s="50" t="b">
        <f t="shared" si="32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1:8" ht="16.149999999999999" customHeight="1" x14ac:dyDescent="0.2">
      <c r="A925" s="61"/>
      <c r="B925" s="62"/>
      <c r="C925" s="60"/>
      <c r="D925" s="62"/>
      <c r="F925" s="50" t="b">
        <f t="shared" si="32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1:8" ht="16.149999999999999" customHeight="1" x14ac:dyDescent="0.2">
      <c r="A926" s="61"/>
      <c r="B926" s="62"/>
      <c r="C926" s="60"/>
      <c r="D926" s="62"/>
      <c r="F926" s="50" t="b">
        <f t="shared" si="32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1:8" ht="16.149999999999999" customHeight="1" x14ac:dyDescent="0.2">
      <c r="A927" s="61"/>
      <c r="B927" s="62"/>
      <c r="C927" s="60"/>
      <c r="D927" s="62"/>
      <c r="F927" s="50" t="b">
        <f t="shared" si="32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1:8" ht="16.149999999999999" customHeight="1" x14ac:dyDescent="0.2">
      <c r="A928" s="61"/>
      <c r="B928" s="62"/>
      <c r="C928" s="60"/>
      <c r="D928" s="62"/>
      <c r="F928" s="50" t="b">
        <f t="shared" si="32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1:8" ht="16.149999999999999" customHeight="1" x14ac:dyDescent="0.2">
      <c r="A929" s="61"/>
      <c r="B929" s="62"/>
      <c r="C929" s="60"/>
      <c r="D929" s="62"/>
      <c r="F929" s="50" t="b">
        <f t="shared" si="32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1:8" ht="16.149999999999999" customHeight="1" x14ac:dyDescent="0.2">
      <c r="A930" s="61"/>
      <c r="B930" s="62"/>
      <c r="C930" s="60"/>
      <c r="D930" s="62"/>
      <c r="F930" s="50" t="b">
        <f t="shared" si="32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1:8" ht="16.149999999999999" customHeight="1" x14ac:dyDescent="0.2">
      <c r="A931" s="61"/>
      <c r="B931" s="62"/>
      <c r="C931" s="60"/>
      <c r="D931" s="62"/>
      <c r="F931" s="50" t="b">
        <f t="shared" si="32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1:8" ht="16.149999999999999" customHeight="1" x14ac:dyDescent="0.2">
      <c r="A932" s="61"/>
      <c r="B932" s="62"/>
      <c r="C932" s="60"/>
      <c r="D932" s="62"/>
      <c r="F932" s="50" t="b">
        <f t="shared" si="32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1:8" ht="16.149999999999999" customHeight="1" x14ac:dyDescent="0.2">
      <c r="A933" s="61"/>
      <c r="B933" s="62"/>
      <c r="C933" s="60"/>
      <c r="D933" s="62"/>
      <c r="F933" s="50" t="b">
        <f t="shared" si="32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1:8" ht="16.149999999999999" customHeight="1" x14ac:dyDescent="0.2">
      <c r="A934" s="61"/>
      <c r="B934" s="62"/>
      <c r="C934" s="60"/>
      <c r="D934" s="62"/>
      <c r="F934" s="50" t="b">
        <f t="shared" si="32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1:8" ht="16.149999999999999" customHeight="1" x14ac:dyDescent="0.2">
      <c r="A935" s="61"/>
      <c r="B935" s="62"/>
      <c r="C935" s="60"/>
      <c r="D935" s="62"/>
      <c r="F935" s="50" t="b">
        <f t="shared" si="32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1:8" ht="16.149999999999999" customHeight="1" x14ac:dyDescent="0.2">
      <c r="A936" s="61"/>
      <c r="B936" s="62"/>
      <c r="C936" s="60"/>
      <c r="D936" s="62"/>
      <c r="F936" s="50" t="b">
        <f t="shared" si="32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1:8" ht="16.149999999999999" customHeight="1" x14ac:dyDescent="0.2">
      <c r="A937" s="61"/>
      <c r="B937" s="62"/>
      <c r="C937" s="60"/>
      <c r="D937" s="62"/>
      <c r="F937" s="50" t="b">
        <f t="shared" si="32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1:8" ht="16.149999999999999" customHeight="1" x14ac:dyDescent="0.2">
      <c r="A938" s="61"/>
      <c r="B938" s="62"/>
      <c r="C938" s="60"/>
      <c r="D938" s="62"/>
      <c r="F938" s="50" t="b">
        <f t="shared" si="32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1:8" ht="16.149999999999999" customHeight="1" x14ac:dyDescent="0.2">
      <c r="A939" s="61"/>
      <c r="B939" s="62"/>
      <c r="C939" s="60"/>
      <c r="D939" s="62"/>
      <c r="F939" s="50" t="b">
        <f t="shared" si="32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1:8" ht="16.149999999999999" customHeight="1" x14ac:dyDescent="0.2">
      <c r="A940" s="61"/>
      <c r="B940" s="62"/>
      <c r="C940" s="60"/>
      <c r="D940" s="62"/>
      <c r="F940" s="50" t="b">
        <f t="shared" si="32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1:8" ht="16.149999999999999" customHeight="1" x14ac:dyDescent="0.2">
      <c r="A941" s="61"/>
      <c r="B941" s="62"/>
      <c r="C941" s="60"/>
      <c r="D941" s="62"/>
      <c r="F941" s="50" t="b">
        <f t="shared" si="32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1:8" ht="16.149999999999999" customHeight="1" x14ac:dyDescent="0.2">
      <c r="A942" s="61"/>
      <c r="B942" s="62"/>
      <c r="C942" s="60"/>
      <c r="D942" s="62"/>
      <c r="F942" s="50" t="b">
        <f t="shared" si="32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1:8" ht="16.149999999999999" customHeight="1" x14ac:dyDescent="0.2">
      <c r="A943" s="61"/>
      <c r="B943" s="62"/>
      <c r="C943" s="60"/>
      <c r="D943" s="62"/>
      <c r="F943" s="50" t="b">
        <f t="shared" si="32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1:8" ht="16.149999999999999" customHeight="1" x14ac:dyDescent="0.2">
      <c r="A944" s="61"/>
      <c r="B944" s="62"/>
      <c r="C944" s="60"/>
      <c r="D944" s="62"/>
      <c r="F944" s="50" t="b">
        <f t="shared" si="32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1:8" ht="16.149999999999999" customHeight="1" x14ac:dyDescent="0.2">
      <c r="A945" s="61"/>
      <c r="B945" s="62"/>
      <c r="C945" s="60"/>
      <c r="D945" s="62"/>
      <c r="F945" s="50" t="b">
        <f t="shared" si="32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1:8" ht="16.149999999999999" customHeight="1" x14ac:dyDescent="0.2">
      <c r="A946" s="61"/>
      <c r="B946" s="62"/>
      <c r="C946" s="60"/>
      <c r="D946" s="62"/>
      <c r="F946" s="50" t="b">
        <f t="shared" si="32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1:8" ht="16.149999999999999" customHeight="1" x14ac:dyDescent="0.2">
      <c r="A947" s="61"/>
      <c r="B947" s="62"/>
      <c r="C947" s="60"/>
      <c r="D947" s="62"/>
      <c r="F947" s="50" t="b">
        <f t="shared" si="32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1:8" ht="16.149999999999999" customHeight="1" x14ac:dyDescent="0.2">
      <c r="A948" s="61"/>
      <c r="B948" s="62"/>
      <c r="C948" s="60"/>
      <c r="D948" s="62"/>
      <c r="F948" s="50" t="b">
        <f t="shared" si="32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1:8" ht="16.149999999999999" customHeight="1" x14ac:dyDescent="0.2">
      <c r="A949" s="61"/>
      <c r="B949" s="62"/>
      <c r="C949" s="60"/>
      <c r="D949" s="62"/>
      <c r="F949" s="50" t="b">
        <f t="shared" si="32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1:8" ht="16.149999999999999" customHeight="1" x14ac:dyDescent="0.2">
      <c r="A950" s="61"/>
      <c r="B950" s="62"/>
      <c r="C950" s="60"/>
      <c r="D950" s="62"/>
      <c r="F950" s="50" t="b">
        <f t="shared" si="32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1:8" ht="16.149999999999999" customHeight="1" x14ac:dyDescent="0.2">
      <c r="A951" s="61"/>
      <c r="B951" s="62"/>
      <c r="C951" s="60"/>
      <c r="D951" s="62"/>
      <c r="F951" s="50" t="b">
        <f t="shared" si="32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1:8" ht="16.149999999999999" customHeight="1" x14ac:dyDescent="0.2">
      <c r="A952" s="61"/>
      <c r="B952" s="62"/>
      <c r="C952" s="60"/>
      <c r="D952" s="62"/>
      <c r="F952" s="50" t="b">
        <f t="shared" si="32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1:8" ht="16.149999999999999" customHeight="1" x14ac:dyDescent="0.2">
      <c r="A953" s="61"/>
      <c r="B953" s="62"/>
      <c r="C953" s="60"/>
      <c r="D953" s="62"/>
      <c r="F953" s="50" t="b">
        <f t="shared" si="32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1:8" ht="16.149999999999999" customHeight="1" x14ac:dyDescent="0.2">
      <c r="A954" s="61"/>
      <c r="B954" s="62"/>
      <c r="C954" s="60"/>
      <c r="D954" s="62"/>
      <c r="F954" s="50" t="b">
        <f t="shared" si="32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1:8" ht="16.149999999999999" customHeight="1" x14ac:dyDescent="0.2">
      <c r="A955" s="61"/>
      <c r="B955" s="62"/>
      <c r="C955" s="60"/>
      <c r="D955" s="62"/>
      <c r="F955" s="50" t="b">
        <f t="shared" si="32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1:8" ht="16.149999999999999" customHeight="1" x14ac:dyDescent="0.2">
      <c r="A956" s="61"/>
      <c r="B956" s="62"/>
      <c r="C956" s="60"/>
      <c r="D956" s="62"/>
      <c r="F956" s="50" t="b">
        <f t="shared" si="32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1:8" ht="16.149999999999999" customHeight="1" x14ac:dyDescent="0.2">
      <c r="A957" s="61"/>
      <c r="B957" s="62"/>
      <c r="C957" s="60"/>
      <c r="D957" s="62"/>
      <c r="F957" s="50" t="b">
        <f t="shared" si="32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1:8" ht="16.149999999999999" customHeight="1" x14ac:dyDescent="0.2">
      <c r="A958" s="61"/>
      <c r="B958" s="62"/>
      <c r="C958" s="60"/>
      <c r="D958" s="62"/>
      <c r="F958" s="50" t="b">
        <f t="shared" si="32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1:8" ht="16.149999999999999" customHeight="1" x14ac:dyDescent="0.2">
      <c r="A959" s="61"/>
      <c r="B959" s="62"/>
      <c r="C959" s="60"/>
      <c r="D959" s="62"/>
      <c r="F959" s="50" t="b">
        <f t="shared" si="32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1:8" ht="16.149999999999999" customHeight="1" x14ac:dyDescent="0.2">
      <c r="A960" s="61"/>
      <c r="B960" s="62"/>
      <c r="C960" s="60"/>
      <c r="D960" s="62"/>
      <c r="F960" s="50" t="b">
        <f t="shared" si="32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1:8" ht="16.149999999999999" customHeight="1" x14ac:dyDescent="0.2">
      <c r="A961" s="61"/>
      <c r="B961" s="62"/>
      <c r="C961" s="60"/>
      <c r="D961" s="62"/>
      <c r="F961" s="50" t="b">
        <f t="shared" ref="F961:F1024" si="33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1:8" ht="16.149999999999999" customHeight="1" x14ac:dyDescent="0.2">
      <c r="A962" s="61"/>
      <c r="B962" s="62"/>
      <c r="C962" s="60"/>
      <c r="D962" s="62"/>
      <c r="F962" s="50" t="b">
        <f t="shared" si="33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1:8" ht="16.149999999999999" customHeight="1" x14ac:dyDescent="0.2">
      <c r="F963" s="50" t="b">
        <f t="shared" si="33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1:8" ht="16.149999999999999" customHeight="1" x14ac:dyDescent="0.2">
      <c r="F964" s="50" t="b">
        <f t="shared" si="33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1:8" ht="16.149999999999999" customHeight="1" x14ac:dyDescent="0.2">
      <c r="F965" s="50" t="b">
        <f t="shared" si="33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1:8" ht="16.149999999999999" customHeight="1" x14ac:dyDescent="0.2">
      <c r="F966" s="50" t="b">
        <f t="shared" si="33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1:8" ht="16.149999999999999" customHeight="1" x14ac:dyDescent="0.2">
      <c r="F967" s="50" t="b">
        <f t="shared" si="33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1:8" ht="16.149999999999999" customHeight="1" x14ac:dyDescent="0.2">
      <c r="F968" s="50" t="b">
        <f t="shared" si="33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1:8" ht="16.149999999999999" customHeight="1" x14ac:dyDescent="0.2">
      <c r="F969" s="50" t="b">
        <f t="shared" si="33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1:8" ht="16.149999999999999" customHeight="1" x14ac:dyDescent="0.2">
      <c r="F970" s="50" t="b">
        <f t="shared" si="33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1:8" ht="16.149999999999999" customHeight="1" x14ac:dyDescent="0.2">
      <c r="F971" s="50" t="b">
        <f t="shared" si="33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1:8" ht="16.149999999999999" customHeight="1" x14ac:dyDescent="0.2">
      <c r="F972" s="50" t="b">
        <f t="shared" si="33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1:8" ht="16.149999999999999" customHeight="1" x14ac:dyDescent="0.2">
      <c r="F973" s="50" t="b">
        <f t="shared" si="33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1:8" ht="16.149999999999999" customHeight="1" x14ac:dyDescent="0.2">
      <c r="F974" s="50" t="b">
        <f t="shared" si="33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1:8" ht="16.149999999999999" customHeight="1" x14ac:dyDescent="0.2">
      <c r="F975" s="50" t="b">
        <f t="shared" si="33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1:8" ht="16.149999999999999" customHeight="1" x14ac:dyDescent="0.2">
      <c r="F976" s="50" t="b">
        <f t="shared" si="33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149999999999999" customHeight="1" x14ac:dyDescent="0.2">
      <c r="F977" s="50" t="b">
        <f t="shared" si="33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149999999999999" customHeight="1" x14ac:dyDescent="0.2">
      <c r="F978" s="50" t="b">
        <f t="shared" si="33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149999999999999" customHeight="1" x14ac:dyDescent="0.2">
      <c r="F979" s="50" t="b">
        <f t="shared" si="33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149999999999999" customHeight="1" x14ac:dyDescent="0.2">
      <c r="F980" s="50" t="b">
        <f t="shared" si="33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149999999999999" customHeight="1" x14ac:dyDescent="0.2">
      <c r="F981" s="50" t="b">
        <f t="shared" si="33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149999999999999" customHeight="1" x14ac:dyDescent="0.2">
      <c r="F982" s="50" t="b">
        <f t="shared" si="33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149999999999999" customHeight="1" x14ac:dyDescent="0.2">
      <c r="F983" s="50" t="b">
        <f t="shared" si="33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149999999999999" customHeight="1" x14ac:dyDescent="0.2">
      <c r="F984" s="50" t="b">
        <f t="shared" si="33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149999999999999" customHeight="1" x14ac:dyDescent="0.2">
      <c r="F985" s="50" t="b">
        <f t="shared" si="33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149999999999999" customHeight="1" x14ac:dyDescent="0.2">
      <c r="F986" s="50" t="b">
        <f t="shared" si="33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149999999999999" customHeight="1" x14ac:dyDescent="0.2">
      <c r="F987" s="50" t="b">
        <f t="shared" si="33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149999999999999" customHeight="1" x14ac:dyDescent="0.2">
      <c r="F988" s="50" t="b">
        <f t="shared" si="33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149999999999999" customHeight="1" x14ac:dyDescent="0.2">
      <c r="F989" s="50" t="b">
        <f t="shared" si="33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149999999999999" customHeight="1" x14ac:dyDescent="0.2">
      <c r="F990" s="50" t="b">
        <f t="shared" si="33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149999999999999" customHeight="1" x14ac:dyDescent="0.2">
      <c r="F991" s="50" t="b">
        <f t="shared" si="33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149999999999999" customHeight="1" x14ac:dyDescent="0.2">
      <c r="F992" s="50" t="b">
        <f t="shared" si="33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149999999999999" customHeight="1" x14ac:dyDescent="0.2">
      <c r="F993" s="50" t="b">
        <f t="shared" si="33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149999999999999" customHeight="1" x14ac:dyDescent="0.2">
      <c r="F994" s="50" t="b">
        <f t="shared" si="33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149999999999999" customHeight="1" x14ac:dyDescent="0.2">
      <c r="F995" s="50" t="b">
        <f t="shared" si="33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149999999999999" customHeight="1" x14ac:dyDescent="0.2">
      <c r="F996" s="50" t="b">
        <f t="shared" si="33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149999999999999" customHeight="1" x14ac:dyDescent="0.2">
      <c r="F997" s="50" t="b">
        <f t="shared" si="33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149999999999999" customHeight="1" x14ac:dyDescent="0.2">
      <c r="F998" s="50" t="b">
        <f t="shared" si="33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149999999999999" customHeight="1" x14ac:dyDescent="0.2">
      <c r="F999" s="50" t="b">
        <f t="shared" si="33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149999999999999" customHeight="1" x14ac:dyDescent="0.2">
      <c r="F1000" s="50" t="b">
        <f t="shared" si="33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149999999999999" customHeight="1" x14ac:dyDescent="0.2">
      <c r="F1001" s="50" t="b">
        <f t="shared" si="33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149999999999999" customHeight="1" x14ac:dyDescent="0.2">
      <c r="F1002" s="50" t="b">
        <f t="shared" si="33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149999999999999" customHeight="1" x14ac:dyDescent="0.2">
      <c r="F1003" s="50" t="b">
        <f t="shared" si="33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149999999999999" customHeight="1" x14ac:dyDescent="0.2">
      <c r="F1004" s="50" t="b">
        <f t="shared" si="33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149999999999999" customHeight="1" x14ac:dyDescent="0.2">
      <c r="F1005" s="50" t="b">
        <f t="shared" si="33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149999999999999" customHeight="1" x14ac:dyDescent="0.2">
      <c r="F1006" s="50" t="b">
        <f t="shared" si="33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149999999999999" customHeight="1" x14ac:dyDescent="0.2">
      <c r="F1007" s="50" t="b">
        <f t="shared" si="33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149999999999999" customHeight="1" x14ac:dyDescent="0.2">
      <c r="F1008" s="50" t="b">
        <f t="shared" si="33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149999999999999" customHeight="1" x14ac:dyDescent="0.2">
      <c r="F1009" s="50" t="b">
        <f t="shared" si="33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149999999999999" customHeight="1" x14ac:dyDescent="0.2">
      <c r="F1010" s="50" t="b">
        <f t="shared" si="33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149999999999999" customHeight="1" x14ac:dyDescent="0.2">
      <c r="F1011" s="50" t="b">
        <f t="shared" si="33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149999999999999" customHeight="1" x14ac:dyDescent="0.2">
      <c r="F1012" s="50" t="b">
        <f t="shared" si="33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149999999999999" customHeight="1" x14ac:dyDescent="0.2">
      <c r="F1013" s="50" t="b">
        <f t="shared" si="33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149999999999999" customHeight="1" x14ac:dyDescent="0.2">
      <c r="F1014" s="50" t="b">
        <f t="shared" si="33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149999999999999" customHeight="1" x14ac:dyDescent="0.2">
      <c r="F1015" s="50" t="b">
        <f t="shared" si="33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149999999999999" customHeight="1" x14ac:dyDescent="0.2">
      <c r="F1016" s="50" t="b">
        <f t="shared" si="33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149999999999999" customHeight="1" x14ac:dyDescent="0.2">
      <c r="F1017" s="50" t="b">
        <f t="shared" si="33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149999999999999" customHeight="1" x14ac:dyDescent="0.2">
      <c r="F1018" s="50" t="b">
        <f t="shared" si="33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149999999999999" customHeight="1" x14ac:dyDescent="0.2">
      <c r="F1019" s="50" t="b">
        <f t="shared" si="33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149999999999999" customHeight="1" x14ac:dyDescent="0.2">
      <c r="F1020" s="50" t="b">
        <f t="shared" si="33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149999999999999" customHeight="1" x14ac:dyDescent="0.2">
      <c r="F1021" s="50" t="b">
        <f t="shared" si="33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149999999999999" customHeight="1" x14ac:dyDescent="0.2">
      <c r="F1022" s="50" t="b">
        <f t="shared" si="33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149999999999999" customHeight="1" x14ac:dyDescent="0.2">
      <c r="F1023" s="50" t="b">
        <f t="shared" si="33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149999999999999" customHeight="1" x14ac:dyDescent="0.2">
      <c r="F1024" s="50" t="b">
        <f t="shared" si="33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149999999999999" customHeight="1" x14ac:dyDescent="0.2">
      <c r="F1025" s="50" t="b">
        <f t="shared" ref="F1025:F1088" si="34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149999999999999" customHeight="1" x14ac:dyDescent="0.2">
      <c r="F1026" s="50" t="b">
        <f t="shared" si="34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149999999999999" customHeight="1" x14ac:dyDescent="0.2">
      <c r="F1027" s="50" t="b">
        <f t="shared" si="34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149999999999999" customHeight="1" x14ac:dyDescent="0.2">
      <c r="F1028" s="50" t="b">
        <f t="shared" si="34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149999999999999" customHeight="1" x14ac:dyDescent="0.2">
      <c r="F1029" s="50" t="b">
        <f t="shared" si="34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149999999999999" customHeight="1" x14ac:dyDescent="0.2">
      <c r="F1030" s="50" t="b">
        <f t="shared" si="34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149999999999999" customHeight="1" x14ac:dyDescent="0.2">
      <c r="F1031" s="50" t="b">
        <f t="shared" si="34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149999999999999" customHeight="1" x14ac:dyDescent="0.2">
      <c r="F1032" s="50" t="b">
        <f t="shared" si="34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149999999999999" customHeight="1" x14ac:dyDescent="0.2">
      <c r="F1033" s="50" t="b">
        <f t="shared" si="34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149999999999999" customHeight="1" x14ac:dyDescent="0.2">
      <c r="F1034" s="50" t="b">
        <f t="shared" si="34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149999999999999" customHeight="1" x14ac:dyDescent="0.2">
      <c r="F1035" s="50" t="b">
        <f t="shared" si="34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149999999999999" customHeight="1" x14ac:dyDescent="0.2">
      <c r="F1036" s="50" t="b">
        <f t="shared" si="34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149999999999999" customHeight="1" x14ac:dyDescent="0.2">
      <c r="F1037" s="50" t="b">
        <f t="shared" si="34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149999999999999" customHeight="1" x14ac:dyDescent="0.2">
      <c r="F1038" s="50" t="b">
        <f t="shared" si="34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149999999999999" customHeight="1" x14ac:dyDescent="0.2">
      <c r="F1039" s="50" t="b">
        <f t="shared" si="34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149999999999999" customHeight="1" x14ac:dyDescent="0.2">
      <c r="F1040" s="50" t="b">
        <f t="shared" si="34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149999999999999" customHeight="1" x14ac:dyDescent="0.2">
      <c r="F1041" s="50" t="b">
        <f t="shared" si="34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149999999999999" customHeight="1" x14ac:dyDescent="0.2">
      <c r="F1042" s="50" t="b">
        <f t="shared" si="34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149999999999999" customHeight="1" x14ac:dyDescent="0.2">
      <c r="F1043" s="50" t="b">
        <f t="shared" si="34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149999999999999" customHeight="1" x14ac:dyDescent="0.2">
      <c r="F1044" s="50" t="b">
        <f t="shared" si="34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149999999999999" customHeight="1" x14ac:dyDescent="0.2">
      <c r="F1045" s="50" t="b">
        <f t="shared" si="34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149999999999999" customHeight="1" x14ac:dyDescent="0.2">
      <c r="F1046" s="50" t="b">
        <f t="shared" si="34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149999999999999" customHeight="1" x14ac:dyDescent="0.2">
      <c r="F1047" s="50" t="b">
        <f t="shared" si="34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149999999999999" customHeight="1" x14ac:dyDescent="0.2">
      <c r="F1048" s="50" t="b">
        <f t="shared" si="34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149999999999999" customHeight="1" x14ac:dyDescent="0.2">
      <c r="F1049" s="50" t="b">
        <f t="shared" si="34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149999999999999" customHeight="1" x14ac:dyDescent="0.2">
      <c r="F1050" s="50" t="b">
        <f t="shared" si="34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149999999999999" customHeight="1" x14ac:dyDescent="0.2">
      <c r="F1051" s="50" t="b">
        <f t="shared" si="34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149999999999999" customHeight="1" x14ac:dyDescent="0.2">
      <c r="F1052" s="50" t="b">
        <f t="shared" si="34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149999999999999" customHeight="1" x14ac:dyDescent="0.2">
      <c r="F1053" s="50" t="b">
        <f t="shared" si="34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149999999999999" customHeight="1" x14ac:dyDescent="0.2">
      <c r="F1054" s="50" t="b">
        <f t="shared" si="34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149999999999999" customHeight="1" x14ac:dyDescent="0.2">
      <c r="F1055" s="50" t="b">
        <f t="shared" si="34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149999999999999" customHeight="1" x14ac:dyDescent="0.2">
      <c r="F1056" s="50" t="b">
        <f t="shared" si="34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149999999999999" customHeight="1" x14ac:dyDescent="0.2">
      <c r="F1057" s="50" t="b">
        <f t="shared" si="34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149999999999999" customHeight="1" x14ac:dyDescent="0.2">
      <c r="F1058" s="50" t="b">
        <f t="shared" si="34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149999999999999" customHeight="1" x14ac:dyDescent="0.2">
      <c r="F1059" s="50" t="b">
        <f t="shared" si="34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149999999999999" customHeight="1" x14ac:dyDescent="0.2">
      <c r="F1060" s="50" t="b">
        <f t="shared" si="34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149999999999999" customHeight="1" x14ac:dyDescent="0.2">
      <c r="F1061" s="50" t="b">
        <f t="shared" si="34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149999999999999" customHeight="1" x14ac:dyDescent="0.2">
      <c r="F1062" s="50" t="b">
        <f t="shared" si="34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149999999999999" customHeight="1" x14ac:dyDescent="0.2">
      <c r="F1063" s="50" t="b">
        <f t="shared" si="34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149999999999999" customHeight="1" x14ac:dyDescent="0.2">
      <c r="F1064" s="50" t="b">
        <f t="shared" si="34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149999999999999" customHeight="1" x14ac:dyDescent="0.2">
      <c r="F1065" s="50" t="b">
        <f t="shared" si="34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149999999999999" customHeight="1" x14ac:dyDescent="0.2">
      <c r="F1066" s="50" t="b">
        <f t="shared" si="34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149999999999999" customHeight="1" x14ac:dyDescent="0.2">
      <c r="F1067" s="50" t="b">
        <f t="shared" si="34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149999999999999" customHeight="1" x14ac:dyDescent="0.2">
      <c r="F1068" s="50" t="b">
        <f t="shared" si="34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149999999999999" customHeight="1" x14ac:dyDescent="0.2">
      <c r="F1069" s="50" t="b">
        <f t="shared" si="34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149999999999999" customHeight="1" x14ac:dyDescent="0.2">
      <c r="F1070" s="50" t="b">
        <f t="shared" si="34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149999999999999" customHeight="1" x14ac:dyDescent="0.2">
      <c r="F1071" s="50" t="b">
        <f t="shared" si="34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149999999999999" customHeight="1" x14ac:dyDescent="0.2">
      <c r="F1072" s="50" t="b">
        <f t="shared" si="34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149999999999999" customHeight="1" x14ac:dyDescent="0.2">
      <c r="F1073" s="50" t="b">
        <f t="shared" si="34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149999999999999" customHeight="1" x14ac:dyDescent="0.2">
      <c r="F1074" s="50" t="b">
        <f t="shared" si="34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149999999999999" customHeight="1" x14ac:dyDescent="0.2">
      <c r="F1075" s="50" t="b">
        <f t="shared" si="34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149999999999999" customHeight="1" x14ac:dyDescent="0.2">
      <c r="F1076" s="50" t="b">
        <f t="shared" si="34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149999999999999" customHeight="1" x14ac:dyDescent="0.2">
      <c r="F1077" s="50" t="b">
        <f t="shared" si="34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149999999999999" customHeight="1" x14ac:dyDescent="0.2">
      <c r="F1078" s="50" t="b">
        <f t="shared" si="34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149999999999999" customHeight="1" x14ac:dyDescent="0.2">
      <c r="F1079" s="50" t="b">
        <f t="shared" si="34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149999999999999" customHeight="1" x14ac:dyDescent="0.2">
      <c r="F1080" s="50" t="b">
        <f t="shared" si="34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149999999999999" customHeight="1" x14ac:dyDescent="0.2">
      <c r="F1081" s="50" t="b">
        <f t="shared" si="34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149999999999999" customHeight="1" x14ac:dyDescent="0.2">
      <c r="F1082" s="50" t="b">
        <f t="shared" si="34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149999999999999" customHeight="1" x14ac:dyDescent="0.2">
      <c r="F1083" s="50" t="b">
        <f t="shared" si="34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149999999999999" customHeight="1" x14ac:dyDescent="0.2">
      <c r="F1084" s="50" t="b">
        <f t="shared" si="34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149999999999999" customHeight="1" x14ac:dyDescent="0.2">
      <c r="F1085" s="50" t="b">
        <f t="shared" si="34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149999999999999" customHeight="1" x14ac:dyDescent="0.2">
      <c r="F1086" s="50" t="b">
        <f t="shared" si="34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149999999999999" customHeight="1" x14ac:dyDescent="0.2">
      <c r="F1087" s="50" t="b">
        <f t="shared" si="34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149999999999999" customHeight="1" x14ac:dyDescent="0.2">
      <c r="F1088" s="50" t="b">
        <f t="shared" si="34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149999999999999" customHeight="1" x14ac:dyDescent="0.2">
      <c r="F1089" s="50" t="b">
        <f t="shared" ref="F1089:F1153" si="35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149999999999999" customHeight="1" x14ac:dyDescent="0.2">
      <c r="F1090" s="50" t="b">
        <f t="shared" si="35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149999999999999" customHeight="1" x14ac:dyDescent="0.2">
      <c r="F1091" s="50" t="b">
        <f t="shared" si="35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149999999999999" customHeight="1" x14ac:dyDescent="0.2">
      <c r="F1092" s="50" t="b">
        <f t="shared" si="35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149999999999999" customHeight="1" x14ac:dyDescent="0.2">
      <c r="F1093" s="50" t="b">
        <f t="shared" si="35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149999999999999" customHeight="1" x14ac:dyDescent="0.2">
      <c r="F1094" s="50" t="b">
        <f t="shared" si="35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149999999999999" customHeight="1" x14ac:dyDescent="0.2">
      <c r="F1095" s="50" t="b">
        <f t="shared" si="35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149999999999999" customHeight="1" x14ac:dyDescent="0.2">
      <c r="F1096" s="50" t="b">
        <f t="shared" si="35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149999999999999" customHeight="1" x14ac:dyDescent="0.2">
      <c r="F1097" s="50" t="b">
        <f t="shared" si="35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149999999999999" customHeight="1" x14ac:dyDescent="0.2">
      <c r="F1098" s="50" t="b">
        <f t="shared" si="35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149999999999999" customHeight="1" x14ac:dyDescent="0.2">
      <c r="F1099" s="50" t="b">
        <f t="shared" si="35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149999999999999" customHeight="1" x14ac:dyDescent="0.2">
      <c r="F1100" s="50" t="b">
        <f t="shared" si="35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149999999999999" customHeight="1" x14ac:dyDescent="0.2">
      <c r="F1101" s="50" t="b">
        <f t="shared" si="35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149999999999999" customHeight="1" x14ac:dyDescent="0.2">
      <c r="F1102" s="50" t="b">
        <f t="shared" si="35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149999999999999" customHeight="1" x14ac:dyDescent="0.2">
      <c r="F1103" s="50" t="b">
        <f t="shared" si="35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149999999999999" customHeight="1" x14ac:dyDescent="0.2">
      <c r="F1104" s="50" t="b">
        <f t="shared" si="35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149999999999999" customHeight="1" x14ac:dyDescent="0.2">
      <c r="F1105" s="50" t="b">
        <f t="shared" si="35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149999999999999" customHeight="1" x14ac:dyDescent="0.2">
      <c r="F1106" s="50" t="b">
        <f t="shared" si="35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149999999999999" customHeight="1" x14ac:dyDescent="0.2">
      <c r="F1107" s="50" t="b">
        <f t="shared" si="35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149999999999999" customHeight="1" x14ac:dyDescent="0.2">
      <c r="F1108" s="50" t="b">
        <f t="shared" si="35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149999999999999" customHeight="1" x14ac:dyDescent="0.2">
      <c r="F1109" s="50" t="b">
        <f t="shared" si="35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149999999999999" customHeight="1" x14ac:dyDescent="0.2">
      <c r="F1110" s="50" t="b">
        <f t="shared" si="35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149999999999999" customHeight="1" x14ac:dyDescent="0.2">
      <c r="F1111" s="50" t="b">
        <f t="shared" si="35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149999999999999" customHeight="1" x14ac:dyDescent="0.2">
      <c r="F1112" s="50" t="b">
        <f t="shared" si="35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149999999999999" customHeight="1" x14ac:dyDescent="0.2">
      <c r="F1113" s="50" t="b">
        <f t="shared" si="35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149999999999999" customHeight="1" x14ac:dyDescent="0.2">
      <c r="F1114" s="50" t="b">
        <f t="shared" si="35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149999999999999" customHeight="1" x14ac:dyDescent="0.2">
      <c r="F1115" s="50" t="b">
        <f t="shared" si="35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149999999999999" customHeight="1" x14ac:dyDescent="0.2">
      <c r="F1116" s="50" t="b">
        <f t="shared" si="35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149999999999999" customHeight="1" x14ac:dyDescent="0.2">
      <c r="F1117" s="50" t="b">
        <f t="shared" si="35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149999999999999" customHeight="1" x14ac:dyDescent="0.2">
      <c r="F1118" s="50" t="b">
        <f t="shared" si="35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149999999999999" customHeight="1" x14ac:dyDescent="0.2">
      <c r="F1119" s="50" t="b">
        <f t="shared" si="35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149999999999999" customHeight="1" x14ac:dyDescent="0.2">
      <c r="F1120" s="50" t="b">
        <f t="shared" si="35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149999999999999" customHeight="1" x14ac:dyDescent="0.2">
      <c r="F1121" s="50" t="b">
        <f t="shared" si="35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149999999999999" customHeight="1" x14ac:dyDescent="0.2">
      <c r="F1122" s="50" t="b">
        <f t="shared" si="35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149999999999999" customHeight="1" x14ac:dyDescent="0.2">
      <c r="F1123" s="50" t="b">
        <f t="shared" si="35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149999999999999" customHeight="1" x14ac:dyDescent="0.2">
      <c r="F1124" s="50" t="b">
        <f t="shared" si="35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149999999999999" customHeight="1" x14ac:dyDescent="0.2">
      <c r="F1125" s="50" t="b">
        <f t="shared" si="35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149999999999999" customHeight="1" x14ac:dyDescent="0.2">
      <c r="F1126" s="50" t="b">
        <f t="shared" si="35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149999999999999" customHeight="1" x14ac:dyDescent="0.2">
      <c r="F1127" s="50" t="b">
        <f t="shared" si="35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149999999999999" customHeight="1" x14ac:dyDescent="0.2">
      <c r="F1128" s="50" t="b">
        <f t="shared" si="35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149999999999999" customHeight="1" x14ac:dyDescent="0.2">
      <c r="F1129" s="50" t="b">
        <f t="shared" si="35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149999999999999" customHeight="1" x14ac:dyDescent="0.2">
      <c r="F1130" s="50" t="b">
        <f t="shared" si="35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149999999999999" customHeight="1" x14ac:dyDescent="0.2">
      <c r="F1131" s="50" t="b">
        <f t="shared" si="35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149999999999999" customHeight="1" x14ac:dyDescent="0.2">
      <c r="F1132" s="50" t="b">
        <f t="shared" si="35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149999999999999" customHeight="1" x14ac:dyDescent="0.2">
      <c r="F1133" s="50" t="b">
        <f t="shared" si="35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149999999999999" customHeight="1" x14ac:dyDescent="0.2">
      <c r="F1134" s="50" t="b">
        <f t="shared" si="35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149999999999999" customHeight="1" x14ac:dyDescent="0.2">
      <c r="F1135" s="50" t="b">
        <f t="shared" si="35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149999999999999" customHeight="1" x14ac:dyDescent="0.2">
      <c r="F1136" s="50" t="b">
        <f t="shared" si="35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149999999999999" customHeight="1" x14ac:dyDescent="0.2">
      <c r="F1137" s="50" t="b">
        <f t="shared" si="35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149999999999999" customHeight="1" x14ac:dyDescent="0.2">
      <c r="F1138" s="50" t="b">
        <f t="shared" si="35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149999999999999" customHeight="1" x14ac:dyDescent="0.2">
      <c r="F1139" s="50" t="b">
        <f t="shared" si="35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149999999999999" customHeight="1" x14ac:dyDescent="0.2">
      <c r="F1140" s="50" t="b">
        <f t="shared" si="35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149999999999999" customHeight="1" x14ac:dyDescent="0.2">
      <c r="F1141" s="50" t="b">
        <f t="shared" si="35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149999999999999" customHeight="1" x14ac:dyDescent="0.2">
      <c r="F1142" s="50" t="b">
        <f t="shared" si="35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149999999999999" customHeight="1" x14ac:dyDescent="0.2">
      <c r="F1143" s="50" t="b">
        <f t="shared" si="35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149999999999999" customHeight="1" x14ac:dyDescent="0.2">
      <c r="F1144" s="50" t="b">
        <f t="shared" si="35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149999999999999" customHeight="1" x14ac:dyDescent="0.2">
      <c r="F1145" s="50" t="b">
        <f t="shared" si="35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149999999999999" customHeight="1" x14ac:dyDescent="0.2">
      <c r="F1146" s="50" t="b">
        <f t="shared" si="35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149999999999999" customHeight="1" x14ac:dyDescent="0.2">
      <c r="F1147" s="50" t="b">
        <f t="shared" si="35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149999999999999" customHeight="1" x14ac:dyDescent="0.2">
      <c r="F1148" s="50" t="b">
        <f t="shared" si="35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149999999999999" customHeight="1" x14ac:dyDescent="0.2">
      <c r="F1149" s="50" t="b">
        <f t="shared" si="35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149999999999999" customHeight="1" x14ac:dyDescent="0.2">
      <c r="F1150" s="50" t="b">
        <f t="shared" si="35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149999999999999" customHeight="1" x14ac:dyDescent="0.2">
      <c r="F1151" s="50" t="b">
        <f t="shared" si="35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149999999999999" customHeight="1" x14ac:dyDescent="0.2">
      <c r="F1152" s="50" t="b">
        <f t="shared" si="35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149999999999999" customHeight="1" x14ac:dyDescent="0.2">
      <c r="F1153" s="50" t="b">
        <f t="shared" si="35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149999999999999" customHeight="1" x14ac:dyDescent="0.2"/>
    <row r="1155" spans="6:8" ht="16.149999999999999" customHeight="1" x14ac:dyDescent="0.2"/>
    <row r="1156" spans="6:8" ht="16.149999999999999" customHeight="1" x14ac:dyDescent="0.2"/>
    <row r="1157" spans="6:8" ht="16.149999999999999" customHeight="1" x14ac:dyDescent="0.2"/>
    <row r="1158" spans="6:8" ht="16.149999999999999" customHeight="1" x14ac:dyDescent="0.2"/>
    <row r="1159" spans="6:8" ht="16.149999999999999" customHeight="1" x14ac:dyDescent="0.2"/>
    <row r="1160" spans="6:8" ht="16.149999999999999" customHeight="1" x14ac:dyDescent="0.2"/>
    <row r="1161" spans="6:8" ht="16.149999999999999" customHeight="1" x14ac:dyDescent="0.2"/>
    <row r="1162" spans="6:8" ht="16.149999999999999" customHeight="1" x14ac:dyDescent="0.2"/>
    <row r="1163" spans="6:8" ht="16.149999999999999" customHeight="1" x14ac:dyDescent="0.2"/>
    <row r="1164" spans="6:8" ht="16.149999999999999" customHeight="1" x14ac:dyDescent="0.2"/>
    <row r="1165" spans="6:8" ht="16.149999999999999" customHeight="1" x14ac:dyDescent="0.2"/>
    <row r="1166" spans="6:8" ht="16.149999999999999" customHeight="1" x14ac:dyDescent="0.2"/>
    <row r="1167" spans="6:8" ht="16.149999999999999" customHeight="1" x14ac:dyDescent="0.2"/>
    <row r="1168" spans="6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9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</dc:creator>
  <cp:lastModifiedBy>Kravtsov Maksim</cp:lastModifiedBy>
  <cp:revision>1</cp:revision>
  <cp:lastPrinted>2020-02-22T12:39:03Z</cp:lastPrinted>
  <dcterms:created xsi:type="dcterms:W3CDTF">2018-02-08T15:15:01Z</dcterms:created>
  <dcterms:modified xsi:type="dcterms:W3CDTF">2020-07-10T13:28:28Z</dcterms:modified>
</cp:coreProperties>
</file>