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MyLocalProjects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2" i="2" l="1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<sst xmlns="http://schemas.openxmlformats.org/spreadsheetml/2006/main" count="1817" uniqueCount="1213">
  <si>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</si>
  <si>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</si>
  <si>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</si>
  <si>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</si>
  <si>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</si>
  <si>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</si>
  <si>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</si>
  <si>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</si>
  <si>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</si>
  <si>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</si>
  <si>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</si>
  <si>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</si>
  <si>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</si>
  <si>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</si>
  <si>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</si>
  <si>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</si>
  <si>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</si>
  <si>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</si>
  <si>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</si>
  <si>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</si>
  <si>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</si>
  <si>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</si>
  <si>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</si>
  <si>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</si>
  <si>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</si>
  <si>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</si>
  <si>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</si>
  <si>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</si>
  <si>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</si>
  <si>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</si>
  <si>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</si>
  <si>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</si>
  <si>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</si>
  <si>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</si>
  <si>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</si>
  <si>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</si>
  <si>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</si>
  <si>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</si>
  <si>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</si>
  <si>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</si>
  <si>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</si>
  <si>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</si>
  <si>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</si>
  <si>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</si>
  <si>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</si>
  <si>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</si>
  <si>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</si>
  <si>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</si>
  <si>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</si>
  <si>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</si>
  <si>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</si>
  <si>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</si>
  <si>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</si>
  <si>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</si>
  <si>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</si>
  <si>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</si>
  <si>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</si>
  <si>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</si>
  <si>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</si>
  <si>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</si>
  <si>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</si>
  <si>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</si>
  <si>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</si>
  <si>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</si>
  <si>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</si>
  <si>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</si>
  <si>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</si>
  <si>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</si>
  <si>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</si>
  <si>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</si>
  <si>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</si>
  <si>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</si>
  <si>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</si>
  <si>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</si>
  <si>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</si>
  <si>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</si>
  <si>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</si>
  <si>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</si>
  <si>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</si>
  <si>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</si>
  <si>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</si>
  <si>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</si>
  <si>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</si>
  <si>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</si>
  <si>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</si>
  <si>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</si>
  <si>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</si>
  <si>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</si>
  <si>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</si>
  <si>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</si>
  <si>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</si>
  <si>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</si>
  <si>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</si>
  <si>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</si>
  <si>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</si>
  <si>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</si>
  <si>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</si>
  <si>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</si>
  <si>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</si>
  <si>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</si>
  <si>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</si>
  <si>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</si>
  <si>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</si>
  <si>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</si>
  <si>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</si>
  <si>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</si>
  <si>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</si>
  <si>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</si>
  <si>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</si>
  <si>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</si>
  <si>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</si>
  <si>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</si>
  <si>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</si>
  <si>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</si>
  <si>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</si>
  <si>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</si>
  <si>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</si>
  <si>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</si>
  <si>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</si>
  <si>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</si>
  <si>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</si>
  <si>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</si>
  <si>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</si>
  <si>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</si>
  <si>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</si>
  <si>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</si>
  <si>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</si>
  <si>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</si>
  <si>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</si>
  <si>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</si>
  <si>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</si>
  <si>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</si>
  <si>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</si>
  <si>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</si>
  <si>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</si>
  <si>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</si>
  <si>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</si>
  <si>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</si>
  <si>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</si>
  <si>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</si>
  <si>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</si>
  <si>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</si>
  <si>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</si>
  <si>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</si>
  <si>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</si>
  <si>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</si>
  <si>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</si>
  <si>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</si>
  <si>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</si>
  <si>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</si>
  <si>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</si>
  <si>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</si>
  <si>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</si>
  <si>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</si>
  <si>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</si>
  <si>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</si>
  <si>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</si>
  <si>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</si>
  <si>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</si>
  <si>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</si>
  <si>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</si>
  <si>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</si>
  <si>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</si>
  <si>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</si>
  <si>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</si>
  <si>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</si>
  <si>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</si>
  <si>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</si>
  <si>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</si>
  <si>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</si>
  <si>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</si>
  <si>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</si>
  <si>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</si>
  <si>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</si>
  <si>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</si>
  <si>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</si>
  <si>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</si>
  <si>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</si>
  <si>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</si>
  <si>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</si>
  <si>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</si>
  <si>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</si>
  <si>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</si>
  <si>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</si>
  <si>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</si>
  <si>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</si>
  <si>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</si>
  <si>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</si>
  <si>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</si>
  <si>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</si>
  <si>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</si>
  <si>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</si>
  <si>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</si>
  <si>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</si>
  <si>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</si>
  <si>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</si>
  <si>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</si>
  <si>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</si>
  <si>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</si>
  <si>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</si>
  <si>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</si>
  <si>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</si>
  <si>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</si>
  <si>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</si>
  <si>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</si>
  <si>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</si>
  <si>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</si>
  <si>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</si>
  <si>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</si>
  <si>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</si>
  <si>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</si>
  <si>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</si>
  <si>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</si>
  <si>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</si>
  <si>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</si>
  <si>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</si>
  <si>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</si>
  <si>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</si>
  <si>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</si>
  <si>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</si>
  <si>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</si>
  <si>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</si>
  <si>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</si>
  <si>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</si>
  <si>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</si>
  <si>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</si>
  <si>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</si>
  <si>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</si>
  <si>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</si>
  <si>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</si>
  <si>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</si>
  <si>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</si>
  <si>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</si>
  <si>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</si>
  <si>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</si>
  <si>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</si>
  <si>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</si>
  <si>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</si>
  <si>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</si>
  <si>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</si>
  <si>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</si>
  <si>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</si>
  <si>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</si>
  <si>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</si>
  <si>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</si>
  <si>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</si>
  <si>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</si>
  <si>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</si>
  <si>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</si>
  <si>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</si>
  <si>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</si>
  <si>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</si>
  <si>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</si>
  <si>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</si>
  <si>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</si>
  <si>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</si>
  <si>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</si>
  <si>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</si>
  <si>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</si>
  <si>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</si>
  <si>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</si>
  <si>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</si>
  <si>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</si>
  <si>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</si>
  <si>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</si>
  <si>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</si>
  <si>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</si>
  <si>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</si>
  <si>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</si>
  <si>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</si>
  <si>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</si>
  <si>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</si>
  <si>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</si>
  <si>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</si>
  <si>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</si>
  <si>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</si>
  <si>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</si>
  <si>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</si>
  <si>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</si>
  <si>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</si>
  <si>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</si>
  <si>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</si>
  <si>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</si>
  <si>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</si>
  <si>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</si>
  <si>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</si>
  <si>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</si>
  <si>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</si>
  <si>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</si>
  <si>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</si>
  <si>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</si>
  <si>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</si>
  <si>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</si>
  <si>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</si>
  <si>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</si>
  <si>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</si>
  <si>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</si>
  <si>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</si>
  <si>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</si>
  <si>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</si>
  <si>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</si>
  <si>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</si>
  <si>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</si>
  <si>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</si>
  <si>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</si>
  <si>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</si>
  <si>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</si>
  <si>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</si>
  <si>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</si>
  <si>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</si>
  <si>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</si>
  <si>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</si>
  <si>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</si>
  <si>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</si>
  <si>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</si>
  <si>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</si>
  <si>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</si>
  <si>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</si>
  <si>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</si>
  <si>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</si>
  <si>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</si>
  <si>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</si>
  <si>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</si>
  <si>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</si>
  <si>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</si>
  <si>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</si>
  <si>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</si>
  <si>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</si>
  <si>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</si>
  <si>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</si>
  <si>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</si>
  <si>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</si>
  <si>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</si>
  <si>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</si>
  <si>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</si>
  <si>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</si>
  <si>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</si>
  <si>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</si>
  <si>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</si>
  <si>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</si>
  <si>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</si>
  <si>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</si>
  <si>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</si>
  <si>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</si>
  <si>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</si>
  <si>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</si>
  <si>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</si>
  <si>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</si>
  <si>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</si>
  <si>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</si>
  <si>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</si>
  <si>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</si>
  <si>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</si>
  <si>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</si>
  <si>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</si>
  <si>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</si>
  <si>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</si>
  <si>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</si>
  <si>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</si>
  <si>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</si>
  <si>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</si>
  <si>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</si>
  <si>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</si>
  <si>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</si>
  <si>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</si>
  <si>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</si>
  <si>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</si>
  <si>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</si>
  <si>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</si>
  <si>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</si>
  <si>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</si>
  <si>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</si>
  <si>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</si>
  <si>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</si>
  <si>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</si>
  <si>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</si>
  <si>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</si>
  <si>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</si>
  <si>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</si>
  <si>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</si>
  <si>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</si>
  <si>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</si>
  <si>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</si>
  <si>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</si>
  <si>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</si>
  <si>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</si>
  <si>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</si>
  <si>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</si>
  <si>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</si>
  <si>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</si>
  <si>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</si>
  <si>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</si>
  <si>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</si>
  <si>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</si>
  <si>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</si>
  <si>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</si>
  <si>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</si>
  <si>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</si>
  <si>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</si>
  <si>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</si>
  <si>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</si>
  <si>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</si>
  <si>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</si>
  <si>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</si>
  <si>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</si>
  <si>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</si>
  <si>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</si>
  <si>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</si>
  <si>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</si>
  <si>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</si>
  <si>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</si>
  <si>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</si>
  <si>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</si>
  <si>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</si>
  <si>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</si>
  <si>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</si>
  <si>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</si>
  <si>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</si>
  <si>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</si>
  <si>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</si>
  <si>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</si>
  <si>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</si>
  <si>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</si>
  <si>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</si>
  <si>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</si>
  <si>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</si>
  <si>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</si>
  <si>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</si>
  <si>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</si>
  <si>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</si>
  <si>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</si>
  <si>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</si>
  <si>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</si>
  <si>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</si>
  <si>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</si>
  <si>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</si>
  <si>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</si>
  <si>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</si>
  <si>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</si>
  <si>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</si>
  <si>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</si>
  <si>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</si>
  <si>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</si>
  <si>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</si>
  <si>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</si>
  <si>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</si>
  <si>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</si>
  <si>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</si>
  <si>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</si>
  <si>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</si>
  <si>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</si>
  <si>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</si>
  <si>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</si>
  <si>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</si>
  <si>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</si>
  <si>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</si>
  <si>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</si>
  <si>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</si>
  <si>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</si>
  <si>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</si>
  <si>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</si>
  <si>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</si>
  <si>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</si>
  <si>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</si>
  <si>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</si>
  <si>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</si>
  <si>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</si>
  <si>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</si>
  <si>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</si>
  <si>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</si>
  <si>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</si>
  <si>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</si>
  <si>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</si>
  <si>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</si>
  <si>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</si>
  <si>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</si>
  <si>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</si>
  <si>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</si>
  <si>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</si>
  <si>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</si>
  <si>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</si>
  <si>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</si>
  <si>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</si>
  <si>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</si>
  <si>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</si>
  <si>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</si>
  <si>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</si>
  <si>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</si>
  <si>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</si>
  <si>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</si>
  <si>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</si>
  <si>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</si>
  <si>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</si>
  <si>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</si>
  <si>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</si>
  <si>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</si>
  <si>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</si>
  <si>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</si>
  <si>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</si>
  <si>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</si>
  <si>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</si>
  <si>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</si>
  <si>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</si>
  <si>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</si>
  <si>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</si>
  <si>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</si>
  <si>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</si>
  <si>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</si>
  <si>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</si>
  <si>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</si>
  <si>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</si>
  <si>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</si>
  <si>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</si>
  <si>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</si>
  <si>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</si>
  <si>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</si>
  <si>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</si>
  <si>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</si>
  <si>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</si>
  <si>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</si>
  <si>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</si>
  <si>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</si>
  <si>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</si>
  <si>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</si>
  <si>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</si>
  <si>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</si>
  <si>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</si>
  <si>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</si>
  <si>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</si>
  <si>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</si>
  <si>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</si>
  <si>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</si>
  <si>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</si>
  <si>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</si>
  <si>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</si>
  <si>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</si>
  <si>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</si>
  <si>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</si>
  <si>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</si>
  <si>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</si>
  <si>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</si>
  <si>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</si>
  <si>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</si>
  <si>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</si>
  <si>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</si>
  <si>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</si>
  <si>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</si>
  <si>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</si>
  <si>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</si>
  <si>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</si>
  <si>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</si>
  <si>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</si>
  <si>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</si>
  <si>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</si>
  <si>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</si>
  <si>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</si>
  <si>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</si>
  <si>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</si>
  <si>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</si>
  <si>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</si>
  <si>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</si>
  <si>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</si>
  <si>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</si>
  <si>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</si>
  <si>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</si>
  <si>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</si>
  <si>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</si>
  <si>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</si>
  <si>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</si>
  <si>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</si>
  <si>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</si>
  <si>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</si>
  <si>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</si>
  <si>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</si>
  <si>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</si>
  <si>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</si>
  <si>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</si>
  <si>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</si>
  <si>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</si>
  <si>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</si>
  <si>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</si>
  <si>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</si>
  <si>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</si>
  <si>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</si>
  <si>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</si>
  <si>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</si>
  <si>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</si>
  <si>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</si>
  <si>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</si>
  <si>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</si>
  <si>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</si>
  <si>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</si>
  <si>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</si>
  <si>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</si>
  <si>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</si>
  <si>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</si>
  <si>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</si>
  <si>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</si>
  <si>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</si>
  <si>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</si>
  <si>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</si>
  <si>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</si>
  <si>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</si>
  <si>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</si>
  <si>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</si>
  <si>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</si>
  <si>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</si>
  <si>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</si>
  <si>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</si>
  <si>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</si>
  <si>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</si>
  <si>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</si>
  <si>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</si>
  <si>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</si>
  <si>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</si>
  <si>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</si>
  <si>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</si>
  <si>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</si>
  <si>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</si>
  <si>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</si>
  <si>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</si>
  <si>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</si>
  <si>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</si>
  <si>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</si>
  <si>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</si>
  <si>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</si>
  <si>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</si>
  <si>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</si>
  <si>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</si>
  <si>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</si>
  <si>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</si>
  <si>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</si>
  <si>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</si>
  <si>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</si>
  <si>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</si>
  <si>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</si>
  <si>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</si>
  <si>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</si>
  <si>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</si>
  <si>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</si>
  <si>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</si>
  <si>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</si>
  <si>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</si>
  <si>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</si>
  <si>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</si>
  <si>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</si>
  <si>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</si>
  <si>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</si>
  <si>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</si>
  <si>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</si>
  <si>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</si>
  <si>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</si>
  <si>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</si>
  <si>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</si>
  <si>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</si>
  <si>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</si>
  <si>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</si>
  <si>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</si>
  <si>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</si>
  <si>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</si>
  <si>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</si>
  <si>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</si>
  <si>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</si>
  <si>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</si>
  <si>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</si>
  <si>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</si>
  <si>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</si>
  <si>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</si>
  <si>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</si>
  <si>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</si>
  <si>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</si>
  <si>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</si>
  <si>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</si>
  <si>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</si>
  <si>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</si>
  <si>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</si>
  <si>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</si>
  <si>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</si>
  <si>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</si>
  <si>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</si>
  <si>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</si>
  <si>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</si>
  <si>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</si>
  <si>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</si>
  <si>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</si>
  <si>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</si>
  <si>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</si>
  <si>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</si>
  <si>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</si>
  <si>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</si>
  <si>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</si>
  <si>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</si>
  <si>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</si>
  <si>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</si>
  <si>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</si>
  <si>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</si>
  <si>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</si>
  <si>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</si>
  <si>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</si>
  <si>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</si>
  <si>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</si>
  <si>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</si>
  <si>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</si>
  <si>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</si>
  <si>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</si>
  <si>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</si>
  <si>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</si>
  <si>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</si>
  <si>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</si>
  <si>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</si>
  <si>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</si>
  <si>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</si>
  <si>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</si>
  <si>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</si>
  <si>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</si>
  <si>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</si>
  <si>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</si>
  <si>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</si>
  <si>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</si>
  <si>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</si>
  <si>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</si>
  <si>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</si>
  <si>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</si>
  <si>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</si>
  <si>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</si>
  <si>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</si>
  <si>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</si>
  <si>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</si>
  <si>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</si>
  <si>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</si>
  <si>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</si>
  <si>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</si>
  <si>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</si>
  <si>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</si>
  <si>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</si>
  <si>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</si>
  <si>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</si>
  <si>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</si>
  <si>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</si>
  <si>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</si>
  <si>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</si>
  <si>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</si>
  <si>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</si>
  <si>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</si>
  <si>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</si>
  <si>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</si>
  <si>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</si>
  <si>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</si>
  <si>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</si>
  <si>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</si>
  <si>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</si>
  <si>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</si>
  <si>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</si>
  <si>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</si>
  <si>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</si>
  <si>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</si>
  <si>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</si>
  <si>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</si>
  <si>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</si>
  <si>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</si>
  <si>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</si>
  <si>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</si>
  <si>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</si>
  <si>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</si>
  <si>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</si>
  <si>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</si>
  <si>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</si>
  <si>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</si>
  <si>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</si>
  <si>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</si>
  <si>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</si>
  <si>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</si>
  <si>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</si>
  <si>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</si>
  <si>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</si>
  <si>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</si>
  <si>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</si>
  <si>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</si>
  <si>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</si>
  <si>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</si>
  <si>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</si>
  <si>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</si>
  <si>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</si>
  <si>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</si>
  <si>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</si>
  <si>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</si>
  <si>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</si>
  <si>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</si>
  <si>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</si>
  <si>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</si>
  <si>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</si>
  <si>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</si>
  <si>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</si>
  <si>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</si>
  <si>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</si>
  <si>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</si>
  <si>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</si>
  <si>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</si>
  <si>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</si>
  <si>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</si>
  <si>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</si>
  <si>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</si>
  <si>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</si>
  <si>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</si>
  <si>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</si>
  <si>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</si>
  <si>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</si>
  <si>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</si>
  <si>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</si>
  <si>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</si>
  <si>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</si>
  <si>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</si>
  <si>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</si>
  <si>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</si>
  <si>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</si>
  <si>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</si>
  <si>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</si>
  <si>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</si>
  <si>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</si>
  <si>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</si>
  <si>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</si>
  <si>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</si>
  <si>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</si>
  <si>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</si>
  <si>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</si>
  <si>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</si>
  <si>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</si>
  <si>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</si>
  <si>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</si>
  <si>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</si>
  <si>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</si>
  <si>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</si>
  <si>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</si>
  <si>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</si>
  <si>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</si>
  <si>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</si>
  <si>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</si>
  <si>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</si>
  <si>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</si>
  <si>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</si>
  <si>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</si>
  <si>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</si>
  <si>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</si>
  <si>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</si>
  <si>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</si>
  <si>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</si>
  <si>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</si>
  <si>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</si>
  <si>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</si>
  <si>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</si>
  <si>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</si>
  <si>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</si>
  <si>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</si>
  <si>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</si>
  <si>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</si>
  <si>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</si>
  <si>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</si>
  <si>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</si>
  <si>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</si>
  <si>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</si>
  <si>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</si>
  <si>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</si>
  <si>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</si>
  <si>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</si>
  <si>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</si>
  <si>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</si>
  <si>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</si>
  <si>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</si>
  <si>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</si>
  <si>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</si>
  <si>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</si>
  <si>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</si>
  <si>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</si>
  <si>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</si>
  <si>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</si>
  <si>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</si>
  <si>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</si>
  <si>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</si>
  <si>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</si>
  <si>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</si>
  <si>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</si>
  <si>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</si>
  <si>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</si>
  <si>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</si>
  <si>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</si>
  <si>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</si>
  <si>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</si>
  <si>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</si>
  <si>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</si>
  <si>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</si>
  <si>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</si>
  <si>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</si>
  <si>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</si>
  <si>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</si>
  <si>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</si>
  <si>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</si>
  <si>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</si>
  <si>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</si>
  <si>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</si>
  <si>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</si>
  <si>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</si>
  <si>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</si>
  <si>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</si>
  <si>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</si>
  <si>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</si>
  <si>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</si>
  <si>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</si>
  <si>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</si>
  <si>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</si>
  <si>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</si>
  <si>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</si>
  <si>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</si>
  <si>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</si>
  <si>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</si>
  <si>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</si>
  <si>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</si>
  <si>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</si>
  <si>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</si>
  <si>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</si>
  <si>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</si>
  <si>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</si>
  <si>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</si>
  <si>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</si>
  <si>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</si>
  <si>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</si>
  <si>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</si>
  <si>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</si>
  <si>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</si>
  <si>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</si>
  <si>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</si>
  <si>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</si>
  <si>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</si>
  <si>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</si>
  <si>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</si>
  <si>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</si>
  <si>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</si>
  <si>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</si>
  <si>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</si>
  <si>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</si>
  <si>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</si>
  <si>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</si>
  <si>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</si>
  <si>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</si>
  <si>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</si>
  <si>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</si>
  <si>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</si>
  <si>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</si>
  <si>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</si>
  <si>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</si>
  <si>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</si>
  <si>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</si>
  <si>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</si>
  <si>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</si>
  <si>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</si>
  <si>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</si>
  <si>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</si>
  <si>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</si>
  <si>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</si>
  <si>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</si>
  <si>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</si>
  <si>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</si>
  <si>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</si>
  <si>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</si>
  <si>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</si>
  <si>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</si>
  <si>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</si>
  <si>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</si>
  <si>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</si>
  <si>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</si>
  <si>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</si>
  <si>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</si>
  <si>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</si>
  <si>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</si>
  <si>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</si>
  <si>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</si>
  <si>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</si>
  <si>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</si>
  <si>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</si>
  <si>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</si>
  <si>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</si>
  <si>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</si>
  <si>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</si>
  <si>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</si>
  <si>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</si>
  <si>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</si>
  <si>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</si>
  <si>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</si>
  <si>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</si>
  <si>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</si>
  <si>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</si>
  <si>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</si>
  <si>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</si>
  <si>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</si>
  <si>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</si>
  <si>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</si>
  <si>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</si>
  <si>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</si>
  <si>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</si>
  <si>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</si>
  <si>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</si>
  <si>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</si>
  <si>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</si>
  <si>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</si>
  <si>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</si>
  <si>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</si>
  <si>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</si>
  <si>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</si>
  <si>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</si>
  <si>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</si>
  <si>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</si>
  <si>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</si>
  <si>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</si>
  <si>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</si>
  <si>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</si>
  <si>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</si>
  <si>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</si>
  <si>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</si>
  <si>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</si>
  <si>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</si>
  <si>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</si>
  <si>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</si>
  <si>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</si>
  <si>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</si>
  <si>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</si>
  <si>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</si>
  <si>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</si>
  <si>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</si>
  <si>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</si>
  <si>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</si>
  <si>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</si>
  <si>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</si>
  <si>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</si>
  <si>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</si>
  <si>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</si>
  <si>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</si>
  <si>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</si>
  <si>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</si>
  <si>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</si>
  <si>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</si>
  <si>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</si>
  <si>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</si>
  <si>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</si>
  <si>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</si>
  <si>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</si>
  <si>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</si>
  <si>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</si>
  <si>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</si>
  <si>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</si>
  <si>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</si>
  <si>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</si>
  <si>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</si>
  <si>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</si>
  <si>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</si>
  <si>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</si>
  <si>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</si>
  <si>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</si>
  <si>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</si>
  <si>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</si>
  <si>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</si>
  <si>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</si>
  <si>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</si>
  <si>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</si>
  <si>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</si>
  <si>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</si>
  <si>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</si>
  <si>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</si>
  <si>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</si>
  <si>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</si>
  <si>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</si>
  <si>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</si>
  <si>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</si>
  <si>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</si>
  <si>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</si>
  <si>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</si>
  <si>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</si>
  <si>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</si>
  <si>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</si>
  <si>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</si>
  <si>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</si>
  <si>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</si>
  <si>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</si>
  <si>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</si>
  <si>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</si>
  <si>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</si>
  <si>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</si>
  <si>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</si>
  <si>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</si>
  <si>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</si>
  <si>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</si>
  <si>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</si>
  <si>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</si>
  <si>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</si>
  <si>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</si>
  <si>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</si>
  <si>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</si>
  <si>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</si>
  <si>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</si>
  <si>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</si>
  <si>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</si>
  <si>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</si>
  <si>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</si>
  <si>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</si>
  <si>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</si>
  <si>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</si>
  <si>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</si>
  <si>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</si>
  <si>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</si>
  <si>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</si>
  <si>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</si>
  <si>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</si>
  <si>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</si>
  <si>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</si>
  <si>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</si>
  <si>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</si>
  <si>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</si>
  <si>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</si>
  <si>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</si>
  <si>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</si>
  <si>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</si>
  <si>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</si>
  <si>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</si>
  <si>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</si>
  <si>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</si>
  <si>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</si>
  <si>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</si>
  <si>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</si>
  <si>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</si>
  <si>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</si>
  <si>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</si>
  <si>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</si>
  <si>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</si>
  <si>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</si>
  <si>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</si>
  <si>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</si>
  <si>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</si>
  <si>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</si>
  <si>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</si>
  <si>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</si>
  <si>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</si>
  <si>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</si>
  <si>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</si>
  <si>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</si>
  <si>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</si>
  <si>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</si>
  <si>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</si>
  <si>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</si>
  <si>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</si>
  <si>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</si>
  <si>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</si>
  <si>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</si>
  <si>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</si>
  <si>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</si>
  <si>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</si>
  <si>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</si>
  <si>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</si>
  <si>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</si>
  <si>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</si>
  <si>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</si>
  <si>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</si>
  <si>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</si>
  <si>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</si>
  <si>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</si>
  <si>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</si>
  <si>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</si>
  <si>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</si>
  <si>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</si>
  <si>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</si>
  <si>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</si>
  <si>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</si>
  <si>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</si>
  <si>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</si>
  <si>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</si>
  <si>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</si>
  <si>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</si>
  <si>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</si>
  <si>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</si>
  <si>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</si>
  <si>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</si>
  <si>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</si>
  <si>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</si>
  <si>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</si>
  <si>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</si>
  <si>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</si>
  <si>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</si>
  <si>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</si>
  <si>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</si>
  <si>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</si>
  <si>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</si>
  <si>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</si>
  <si>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</si>
  <si>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</si>
  <si>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</si>
  <si>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</si>
  <si>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</si>
  <si>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</si>
  <si>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</si>
  <si>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</si>
  <si>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</si>
  <si>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</si>
  <si>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ВБ/5/2-3;65529</t>
  </si>
  <si>
    <t>003</t>
  </si>
  <si>
    <t>РЕЗИДЕНТЫ - ПЛАТНЫЕ УСЛУГИ</t>
  </si>
  <si>
    <t>00000000000000000130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</si>
  <si>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</si>
  <si>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</si>
  <si>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</si>
  <si>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</si>
  <si>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t>
  </si>
  <si>
    <t/>
  </si>
  <si>
    <t>Возм.расх.за электроэн.за пер.:с 01.03.21 по 31.08.21,в т.ч. НДС 200</t>
  </si>
  <si>
    <t>Чепурнов Михаил Юрьевич</t>
  </si>
  <si>
    <t>Э6-17Р134/2021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</si>
  <si>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г.Москве|BIC=004525988|CorrespAcc=40102810545370000003|Sum=120000|Purpose=Возм.расх.за электроэн.за пер.:с 01.03.21 по 31.08.21,в т.ч. НДС 200,№6,Dog,ИстКод 65529|PayeeINN=7701002520|KPP=770101001|CBC=00000000000000000130|OKTMO=45375000|Contract=Э6-17Р134/2021|ChildFIO=Чепурнов Михаил Юрьевич|CATEGORY=003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</si>
</sst>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8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09"/>
      <c r="M1" s="109"/>
      <c r="N1" s="109"/>
    </row>
    <row r="2" spans="2:26" s="13" customFormat="1" ht="20.399999999999999" customHeight="1" thickBot="1" x14ac:dyDescent="0.25">
      <c r="B2" s="111" t="s">
        <v>1201</v>
      </c>
      <c r="C2" s="112"/>
      <c r="D2" s="113"/>
      <c r="E2" s="113"/>
      <c r="F2" s="113"/>
      <c r="G2" s="113"/>
      <c r="H2" s="113"/>
      <c r="I2" s="114"/>
      <c r="K2" s="110"/>
      <c r="L2" s="110"/>
      <c r="M2" s="110"/>
      <c r="N2" s="110"/>
    </row>
    <row r="3" spans="2:26" ht="16.2" thickBot="1" x14ac:dyDescent="0.35">
      <c r="K3" s="122" t="s">
        <v>1199</v>
      </c>
      <c r="L3" s="123"/>
      <c r="M3" s="123"/>
      <c r="N3" s="123"/>
    </row>
    <row r="4" spans="2:26" x14ac:dyDescent="0.2">
      <c r="B4" s="1"/>
      <c r="C4" s="2"/>
      <c r="D4" s="124" t="s">
        <v>1200</v>
      </c>
      <c r="E4" s="125"/>
      <c r="F4" s="125"/>
      <c r="G4" s="118"/>
      <c r="H4" s="118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1" t="s">
        <v>1</v>
      </c>
      <c r="C5" s="81"/>
      <c r="D5" s="120" t="s">
        <v>31</v>
      </c>
      <c r="E5" s="120"/>
      <c r="F5" s="120"/>
      <c r="G5" s="120"/>
      <c r="H5" s="120"/>
      <c r="I5" s="120"/>
      <c r="J5" s="120"/>
      <c r="K5" s="120"/>
      <c r="L5" s="120"/>
      <c r="M5" s="120"/>
      <c r="N5" s="120"/>
    </row>
    <row r="6" spans="2:26" x14ac:dyDescent="0.2">
      <c r="B6" s="4"/>
      <c r="C6" s="5"/>
      <c r="D6" s="121" t="s">
        <v>2</v>
      </c>
      <c r="E6" s="121"/>
      <c r="F6" s="121"/>
      <c r="G6" s="121"/>
      <c r="H6" s="121"/>
      <c r="I6" s="121"/>
      <c r="J6" s="121"/>
      <c r="K6" s="121"/>
      <c r="L6" s="121"/>
      <c r="M6" s="121"/>
      <c r="N6" s="121"/>
    </row>
    <row r="7" spans="2:26" ht="13.8" x14ac:dyDescent="0.25">
      <c r="B7" s="4"/>
      <c r="C7" s="34"/>
      <c r="D7" s="97" t="s">
        <v>24</v>
      </c>
      <c r="E7" s="97"/>
      <c r="F7" s="97"/>
      <c r="G7" s="97"/>
      <c r="H7" s="97"/>
      <c r="K7" s="88" t="s">
        <v>1203</v>
      </c>
      <c r="L7" s="88"/>
      <c r="M7" s="88"/>
      <c r="N7" s="88"/>
    </row>
    <row r="8" spans="2:26" x14ac:dyDescent="0.2">
      <c r="B8" s="4"/>
      <c r="C8" s="5"/>
      <c r="D8" s="85" t="s">
        <v>3</v>
      </c>
      <c r="E8" s="85"/>
      <c r="F8" s="85"/>
      <c r="G8" s="85"/>
      <c r="H8" s="85"/>
      <c r="K8" s="86" t="s">
        <v>4</v>
      </c>
      <c r="L8" s="86"/>
      <c r="M8" s="86"/>
      <c r="N8" s="86"/>
    </row>
    <row r="9" spans="2:26" ht="14.4" customHeight="1" x14ac:dyDescent="0.25">
      <c r="B9" s="4"/>
      <c r="C9" s="5"/>
      <c r="D9" s="97" t="s">
        <v>25</v>
      </c>
      <c r="E9" s="98"/>
      <c r="F9" s="98"/>
      <c r="G9" s="98"/>
      <c r="H9" s="98"/>
      <c r="K9" s="87" t="s">
        <v>23</v>
      </c>
      <c r="L9" s="87"/>
      <c r="M9" s="87"/>
      <c r="N9" s="88"/>
    </row>
    <row r="10" spans="2:26" x14ac:dyDescent="0.2">
      <c r="B10" s="4"/>
      <c r="C10" s="5"/>
      <c r="D10" s="90" t="s">
        <v>19</v>
      </c>
      <c r="E10" s="91"/>
      <c r="F10" s="91"/>
      <c r="G10" s="91"/>
      <c r="H10" s="91"/>
      <c r="K10" s="91" t="s">
        <v>20</v>
      </c>
      <c r="L10" s="91"/>
      <c r="M10" s="91"/>
      <c r="N10" s="119"/>
    </row>
    <row r="11" spans="2:26" ht="13.8" x14ac:dyDescent="0.25">
      <c r="B11" s="4"/>
      <c r="C11" s="5"/>
      <c r="D11" s="95" t="s">
        <v>1202</v>
      </c>
      <c r="E11" s="87"/>
      <c r="F11" s="87"/>
      <c r="G11" s="87"/>
      <c r="H11" s="87"/>
      <c r="K11" s="19"/>
      <c r="L11" s="18"/>
      <c r="M11" s="18"/>
      <c r="N11" s="17"/>
    </row>
    <row r="12" spans="2:26" x14ac:dyDescent="0.2">
      <c r="B12" s="4"/>
      <c r="C12" s="5"/>
      <c r="D12" s="90" t="s">
        <v>21</v>
      </c>
      <c r="E12" s="91"/>
      <c r="F12" s="91"/>
      <c r="G12" s="91"/>
      <c r="H12" s="91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87" t="s">
        <v>1204</v>
      </c>
      <c r="F13" s="87"/>
      <c r="G13" s="87"/>
      <c r="H13" s="87"/>
      <c r="I13" s="87"/>
      <c r="J13" s="87"/>
      <c r="K13" s="87"/>
      <c r="L13" s="7" t="s">
        <v>6</v>
      </c>
      <c r="M13" s="88" t="s">
        <v>1205</v>
      </c>
      <c r="N13" s="88"/>
    </row>
    <row r="14" spans="2:26" ht="10.8" thickBot="1" x14ac:dyDescent="0.25">
      <c r="B14" s="4"/>
      <c r="C14" s="5"/>
      <c r="D14" s="4"/>
      <c r="E14" s="101" t="s">
        <v>7</v>
      </c>
      <c r="F14" s="101"/>
      <c r="G14" s="101"/>
      <c r="H14" s="101"/>
      <c r="I14" s="101"/>
      <c r="J14" s="101"/>
      <c r="K14" s="101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96" t="s">
        <v>8</v>
      </c>
      <c r="E15" s="96"/>
      <c r="F15" s="96"/>
      <c r="G15" s="96"/>
      <c r="H15" s="7"/>
      <c r="I15" s="88" t="s">
        <v>1206</v>
      </c>
      <c r="J15" s="88"/>
      <c r="K15" s="88"/>
      <c r="L15" s="88"/>
      <c r="M15" s="88"/>
      <c r="N15" s="88"/>
      <c r="S15" s="43"/>
      <c r="T15" s="44" t="s">
        <v>1207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7" t="s">
        <v>47</v>
      </c>
      <c r="C16" s="108"/>
      <c r="D16" s="83" t="s">
        <v>1209</v>
      </c>
      <c r="E16" s="84"/>
      <c r="F16" s="84"/>
      <c r="G16" s="84"/>
      <c r="H16" s="84"/>
      <c r="I16" s="84"/>
      <c r="J16" s="84"/>
      <c r="K16" s="84"/>
      <c r="M16" s="105" t="s">
        <v>1211</v>
      </c>
      <c r="N16" s="106"/>
    </row>
    <row r="17" spans="2:23" ht="10.8" thickBot="1" x14ac:dyDescent="0.25">
      <c r="B17" s="4"/>
      <c r="C17" s="5"/>
      <c r="D17" s="85" t="s">
        <v>17</v>
      </c>
      <c r="E17" s="85"/>
      <c r="F17" s="85"/>
      <c r="G17" s="85"/>
      <c r="H17" s="85"/>
      <c r="I17" s="85"/>
      <c r="J17" s="85"/>
      <c r="K17" s="85"/>
      <c r="M17" s="86" t="s">
        <v>16</v>
      </c>
      <c r="N17" s="86"/>
      <c r="T17" s="37" t="s">
        <v>30</v>
      </c>
    </row>
    <row r="18" spans="2:23" ht="13.8" x14ac:dyDescent="0.25">
      <c r="B18" s="4"/>
      <c r="C18" s="5"/>
      <c r="D18" s="126" t="s">
        <v>22</v>
      </c>
      <c r="E18" s="126"/>
      <c r="F18" s="126"/>
      <c r="G18" s="100" t="s">
        <v>1210</v>
      </c>
      <c r="H18" s="100"/>
      <c r="I18" s="100"/>
      <c r="J18" s="100"/>
      <c r="K18" s="100"/>
      <c r="L18" s="100"/>
      <c r="M18" s="100"/>
      <c r="N18" s="100"/>
      <c r="S18" s="40"/>
      <c r="T18" s="47" t="s">
        <v>1208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92" t="s">
        <v>50</v>
      </c>
      <c r="H19" s="93"/>
      <c r="I19" s="93"/>
      <c r="J19" s="93"/>
      <c r="K19" s="93"/>
      <c r="L19" s="93"/>
      <c r="M19" s="93"/>
      <c r="N19" s="94"/>
      <c r="S19" s="41"/>
      <c r="T19" s="39"/>
      <c r="U19" s="39"/>
      <c r="V19" s="16"/>
    </row>
    <row r="20" spans="2:23" ht="13.8" thickBot="1" x14ac:dyDescent="0.3">
      <c r="B20" s="82"/>
      <c r="C20" s="115"/>
      <c r="D20" s="116" t="s">
        <v>9</v>
      </c>
      <c r="E20" s="116"/>
      <c r="F20" s="116"/>
      <c r="G20" s="117">
        <v>1200</v>
      </c>
      <c r="H20" s="117"/>
      <c r="K20" s="14"/>
      <c r="L20" s="15"/>
      <c r="M20" s="130"/>
      <c r="N20" s="130"/>
      <c r="T20" s="38" t="s">
        <v>34</v>
      </c>
      <c r="V20" s="38" t="s">
        <v>37</v>
      </c>
    </row>
    <row r="21" spans="2:23" x14ac:dyDescent="0.2">
      <c r="B21" s="82"/>
      <c r="C21" s="115"/>
      <c r="D21" s="116"/>
      <c r="E21" s="116"/>
      <c r="F21" s="116"/>
      <c r="G21" s="117"/>
      <c r="H21" s="117"/>
      <c r="K21" t="s">
        <v>10</v>
      </c>
      <c r="L21" s="16"/>
      <c r="M21" s="131"/>
      <c r="N21" s="131"/>
      <c r="S21" s="138">
        <v>1200</v>
      </c>
      <c r="T21" s="139"/>
      <c r="U21" s="140"/>
      <c r="V21" s="137">
        <f>SetSum*20/120</f>
        <v>200</v>
      </c>
    </row>
    <row r="22" spans="2:23" x14ac:dyDescent="0.2">
      <c r="B22" s="4"/>
      <c r="C22" s="5"/>
      <c r="D22" s="4"/>
      <c r="N22" s="5"/>
      <c r="S22" s="137"/>
      <c r="T22" s="141"/>
      <c r="U22" s="142"/>
      <c r="V22" s="137"/>
    </row>
    <row r="23" spans="2:23" ht="11.85" customHeight="1" thickBot="1" x14ac:dyDescent="0.25">
      <c r="B23" s="4"/>
      <c r="C23" s="5"/>
      <c r="D23" s="102" t="s">
        <v>11</v>
      </c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S23" s="143"/>
      <c r="T23" s="144"/>
      <c r="U23" s="145"/>
      <c r="V23" s="137"/>
    </row>
    <row r="24" spans="2:23" ht="17.25" customHeight="1" thickBot="1" x14ac:dyDescent="0.35">
      <c r="B24" s="81" t="s">
        <v>12</v>
      </c>
      <c r="C24" s="81"/>
      <c r="D24" s="99" t="s">
        <v>13</v>
      </c>
      <c r="E24" s="99"/>
      <c r="F24" s="99"/>
      <c r="G24" s="99"/>
      <c r="H24" s="99"/>
      <c r="I24" s="103" t="s">
        <v>14</v>
      </c>
      <c r="J24" s="103"/>
      <c r="K24" s="103"/>
      <c r="L24" s="104"/>
      <c r="M24" s="104"/>
      <c r="N24" s="104"/>
      <c r="O24" s="8"/>
    </row>
    <row r="25" spans="2:23" ht="16.2" thickBot="1" x14ac:dyDescent="0.35">
      <c r="B25" s="9"/>
      <c r="C25" s="10"/>
      <c r="D25" s="9"/>
      <c r="E25" s="11"/>
      <c r="F25" s="11"/>
      <c r="G25" s="89"/>
      <c r="H25" s="89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7"/>
      <c r="H26" s="127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1" t="s">
        <v>15</v>
      </c>
      <c r="C27" s="81"/>
      <c r="D27" s="120" t="str">
        <f>Name</f>
        <v>УФК по г.Москве (МГТУ им. Н.Э. Баумана л/с 20736Х72760)</v>
      </c>
      <c r="E27" s="120"/>
      <c r="F27" s="120"/>
      <c r="G27" s="120"/>
      <c r="H27" s="120"/>
      <c r="I27" s="120"/>
      <c r="J27" s="120"/>
      <c r="K27" s="120"/>
      <c r="L27" s="120"/>
      <c r="M27" s="120"/>
      <c r="N27" s="120"/>
    </row>
    <row r="28" spans="2:23" ht="10.8" thickBot="1" x14ac:dyDescent="0.25">
      <c r="B28" s="4"/>
      <c r="C28" s="5"/>
      <c r="D28" s="121" t="s">
        <v>2</v>
      </c>
      <c r="E28" s="121"/>
      <c r="F28" s="121"/>
      <c r="G28" s="121"/>
      <c r="H28" s="121"/>
      <c r="I28" s="121"/>
      <c r="J28" s="121"/>
      <c r="K28" s="121"/>
      <c r="L28" s="121"/>
      <c r="M28" s="121"/>
      <c r="N28" s="121"/>
    </row>
    <row r="29" spans="2:23" ht="14.4" thickBot="1" x14ac:dyDescent="0.3">
      <c r="B29" s="4"/>
      <c r="C29" s="5"/>
      <c r="D29" s="129" t="str">
        <f>PayeeINN</f>
        <v>7701002520</v>
      </c>
      <c r="E29" s="129"/>
      <c r="F29" s="129"/>
      <c r="G29" s="129"/>
      <c r="H29" s="129"/>
      <c r="I29" s="23"/>
      <c r="J29" s="23"/>
      <c r="K29" s="100" t="str">
        <f>PersonalAcc</f>
        <v>03214643000000017300</v>
      </c>
      <c r="L29" s="100"/>
      <c r="M29" s="100"/>
      <c r="N29" s="100"/>
      <c r="S29" s="75" t="s">
        <v>1198</v>
      </c>
      <c r="T29" s="76"/>
      <c r="U29" s="76"/>
      <c r="V29" s="77"/>
    </row>
    <row r="30" spans="2:23" x14ac:dyDescent="0.2">
      <c r="B30" s="4"/>
      <c r="C30" s="5"/>
      <c r="D30" s="85" t="s">
        <v>3</v>
      </c>
      <c r="E30" s="85"/>
      <c r="F30" s="85"/>
      <c r="G30" s="85"/>
      <c r="H30" s="85"/>
      <c r="I30" s="23"/>
      <c r="J30" s="23"/>
      <c r="K30" s="86" t="s">
        <v>4</v>
      </c>
      <c r="L30" s="86"/>
      <c r="M30" s="86"/>
      <c r="N30" s="86"/>
      <c r="S30" s="146">
        <f>DogKod</f>
        <v>0</v>
      </c>
      <c r="T30" s="147"/>
      <c r="U30" s="74"/>
      <c r="V30" s="74"/>
    </row>
    <row r="31" spans="2:23" ht="14.4" customHeight="1" x14ac:dyDescent="0.25">
      <c r="B31" s="4"/>
      <c r="C31" s="5"/>
      <c r="D31" s="97" t="str">
        <f>D9</f>
        <v>770101001</v>
      </c>
      <c r="E31" s="128"/>
      <c r="F31" s="128"/>
      <c r="G31" s="128"/>
      <c r="H31" s="128"/>
      <c r="I31" s="23"/>
      <c r="J31" s="23"/>
      <c r="K31" s="87" t="str">
        <f>K9</f>
        <v>45375000</v>
      </c>
      <c r="L31" s="128"/>
      <c r="M31" s="128"/>
      <c r="N31" s="100"/>
      <c r="S31" s="146"/>
      <c r="T31" s="147"/>
      <c r="U31" s="74"/>
      <c r="V31" s="74"/>
    </row>
    <row r="32" spans="2:23" ht="10.8" thickBot="1" x14ac:dyDescent="0.25">
      <c r="B32" s="4"/>
      <c r="C32" s="5"/>
      <c r="D32" s="90" t="s">
        <v>19</v>
      </c>
      <c r="E32" s="91"/>
      <c r="F32" s="91"/>
      <c r="G32" s="91"/>
      <c r="H32" s="91"/>
      <c r="I32" s="23"/>
      <c r="J32" s="23"/>
      <c r="K32" s="91" t="s">
        <v>20</v>
      </c>
      <c r="L32" s="91"/>
      <c r="M32" s="91"/>
      <c r="N32" s="119"/>
      <c r="S32" s="148"/>
      <c r="T32" s="149"/>
      <c r="U32" s="74"/>
      <c r="V32" s="74"/>
    </row>
    <row r="33" spans="2:15" ht="13.8" x14ac:dyDescent="0.25">
      <c r="B33" s="4"/>
      <c r="C33" s="5"/>
      <c r="D33" s="95" t="str">
        <f>D11</f>
        <v>00000000000000000130</v>
      </c>
      <c r="E33" s="128"/>
      <c r="F33" s="128"/>
      <c r="G33" s="128"/>
      <c r="H33" s="128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90" t="s">
        <v>21</v>
      </c>
      <c r="E34" s="91"/>
      <c r="F34" s="91"/>
      <c r="G34" s="91"/>
      <c r="H34" s="91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28" t="str">
        <f>BankName</f>
        <v>ГУ Банка России по ЦФО//УФК по г.Москве</v>
      </c>
      <c r="F35" s="128"/>
      <c r="G35" s="128"/>
      <c r="H35" s="128"/>
      <c r="I35" s="128"/>
      <c r="J35" s="128"/>
      <c r="K35" s="128"/>
      <c r="L35" s="7" t="s">
        <v>6</v>
      </c>
      <c r="M35" s="100" t="str">
        <f>BIC</f>
        <v>004525988</v>
      </c>
      <c r="N35" s="100"/>
    </row>
    <row r="36" spans="2:15" x14ac:dyDescent="0.2">
      <c r="B36" s="4"/>
      <c r="C36" s="5"/>
      <c r="D36" s="25"/>
      <c r="E36" s="101" t="s">
        <v>7</v>
      </c>
      <c r="F36" s="101"/>
      <c r="G36" s="101"/>
      <c r="H36" s="101"/>
      <c r="I36" s="101"/>
      <c r="J36" s="101"/>
      <c r="K36" s="101"/>
      <c r="L36" s="23"/>
      <c r="M36" s="23"/>
      <c r="N36" s="26"/>
    </row>
    <row r="37" spans="2:15" ht="13.8" x14ac:dyDescent="0.25">
      <c r="B37" s="4"/>
      <c r="C37" s="5"/>
      <c r="D37" s="132" t="s">
        <v>8</v>
      </c>
      <c r="E37" s="132"/>
      <c r="F37" s="132"/>
      <c r="G37" s="132"/>
      <c r="H37" s="7"/>
      <c r="I37" s="100" t="str">
        <f>CorrespAcc</f>
        <v>40102810545370000003</v>
      </c>
      <c r="J37" s="100"/>
      <c r="K37" s="100"/>
      <c r="L37" s="100"/>
      <c r="M37" s="100"/>
      <c r="N37" s="100"/>
    </row>
    <row r="38" spans="2:15" ht="41.4" customHeight="1" x14ac:dyDescent="0.2">
      <c r="B38" s="4"/>
      <c r="C38" s="5"/>
      <c r="D38" s="83" t="str">
        <f>Purpose</f>
        <v>Возм.расх.за электроэн.за пер.:с 01.03.21 по 31.08.21,в т.ч. НДС 200</v>
      </c>
      <c r="E38" s="84"/>
      <c r="F38" s="84"/>
      <c r="G38" s="84"/>
      <c r="H38" s="84"/>
      <c r="I38" s="84"/>
      <c r="J38" s="84"/>
      <c r="K38" s="84"/>
      <c r="L38" s="23"/>
      <c r="M38" s="105" t="str">
        <f>Contract</f>
        <v>Э6-17Р134/2021</v>
      </c>
      <c r="N38" s="106"/>
    </row>
    <row r="39" spans="2:15" x14ac:dyDescent="0.2">
      <c r="B39" s="4"/>
      <c r="C39" s="5"/>
      <c r="D39" s="85" t="s">
        <v>17</v>
      </c>
      <c r="E39" s="85"/>
      <c r="F39" s="85"/>
      <c r="G39" s="85"/>
      <c r="H39" s="85"/>
      <c r="I39" s="85"/>
      <c r="J39" s="85"/>
      <c r="K39" s="85"/>
      <c r="L39" s="23"/>
      <c r="M39" s="86" t="s">
        <v>16</v>
      </c>
      <c r="N39" s="86"/>
    </row>
    <row r="40" spans="2:15" ht="13.8" x14ac:dyDescent="0.25">
      <c r="B40" s="4"/>
      <c r="C40" s="5"/>
      <c r="D40" s="134" t="str">
        <f>D18</f>
        <v>ФИО обучающегося</v>
      </c>
      <c r="E40" s="134"/>
      <c r="F40" s="134"/>
      <c r="G40" s="100" t="str">
        <f>FIO</f>
        <v>Чепурнов Михаил Юрьевич</v>
      </c>
      <c r="H40" s="100"/>
      <c r="I40" s="100"/>
      <c r="J40" s="100"/>
      <c r="K40" s="100"/>
      <c r="L40" s="100"/>
      <c r="M40" s="100"/>
      <c r="N40" s="100"/>
    </row>
    <row r="41" spans="2:15" ht="13.8" x14ac:dyDescent="0.25">
      <c r="B41" s="4"/>
      <c r="C41" s="5"/>
      <c r="D41" s="132" t="s">
        <v>18</v>
      </c>
      <c r="E41" s="133"/>
      <c r="F41" s="133"/>
      <c r="G41" s="92" t="str">
        <f>IF(Hostel="","",Hostel)</f>
        <v>№6</v>
      </c>
      <c r="H41" s="135"/>
      <c r="I41" s="135"/>
      <c r="J41" s="135"/>
      <c r="K41" s="135"/>
      <c r="L41" s="135"/>
      <c r="M41" s="135"/>
      <c r="N41" s="136"/>
    </row>
    <row r="42" spans="2:15" ht="13.2" x14ac:dyDescent="0.25">
      <c r="B42" s="82"/>
      <c r="C42" s="115"/>
      <c r="D42" s="116" t="s">
        <v>9</v>
      </c>
      <c r="E42" s="116"/>
      <c r="F42" s="116"/>
      <c r="G42" s="117">
        <f>Sum</f>
        <v>1200</v>
      </c>
      <c r="H42" s="117"/>
      <c r="I42" s="23"/>
      <c r="J42" s="23"/>
      <c r="K42" s="14"/>
      <c r="L42" s="27"/>
      <c r="M42" s="130"/>
      <c r="N42" s="130"/>
    </row>
    <row r="43" spans="2:15" x14ac:dyDescent="0.2">
      <c r="B43" s="82"/>
      <c r="C43" s="115"/>
      <c r="D43" s="116"/>
      <c r="E43" s="116"/>
      <c r="F43" s="116"/>
      <c r="G43" s="117"/>
      <c r="H43" s="117"/>
      <c r="I43" s="23"/>
      <c r="J43" s="23"/>
      <c r="K43" s="23" t="s">
        <v>10</v>
      </c>
      <c r="L43" s="28"/>
      <c r="M43" s="131"/>
      <c r="N43" s="131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2" t="s">
        <v>11</v>
      </c>
      <c r="E45" s="102"/>
      <c r="F45" s="102"/>
      <c r="G45" s="102"/>
      <c r="H45" s="102"/>
      <c r="I45" s="102"/>
      <c r="J45" s="102"/>
      <c r="K45" s="102"/>
      <c r="L45" s="102"/>
      <c r="M45" s="102"/>
      <c r="N45" s="102"/>
    </row>
    <row r="46" spans="2:15" ht="17.25" customHeight="1" x14ac:dyDescent="0.3">
      <c r="B46" s="81" t="s">
        <v>12</v>
      </c>
      <c r="C46" s="81"/>
      <c r="D46" s="153" t="s">
        <v>13</v>
      </c>
      <c r="E46" s="153"/>
      <c r="F46" s="153"/>
      <c r="G46" s="153"/>
      <c r="H46" s="153"/>
      <c r="I46" s="155" t="s">
        <v>14</v>
      </c>
      <c r="J46" s="155"/>
      <c r="K46" s="155"/>
      <c r="L46" s="156"/>
      <c r="M46" s="156"/>
      <c r="N46" s="156"/>
      <c r="O46" s="8"/>
    </row>
    <row r="47" spans="2:15" ht="10.8" thickBot="1" x14ac:dyDescent="0.25">
      <c r="B47" s="9"/>
      <c r="C47" s="10"/>
      <c r="D47" s="29"/>
      <c r="E47" s="30"/>
      <c r="F47" s="30"/>
      <c r="G47" s="154"/>
      <c r="H47" s="154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1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157" t="s">
        <v>1212</v>
      </c>
      <c r="C52" s="157"/>
      <c r="D52" s="157"/>
      <c r="E52" s="157"/>
    </row>
    <row r="53" spans="2:21" ht="18" customHeight="1" outlineLevel="1" x14ac:dyDescent="0.2">
      <c r="B53" s="157"/>
      <c r="C53" s="157"/>
      <c r="D53" s="157"/>
      <c r="E53" s="157"/>
    </row>
    <row r="54" spans="2:21" ht="19.5" customHeight="1" outlineLevel="1" x14ac:dyDescent="0.2">
      <c r="B54" s="157"/>
      <c r="C54" s="157"/>
      <c r="D54" s="157"/>
      <c r="E54" s="157"/>
    </row>
    <row r="55" spans="2:21" ht="4.5" customHeight="1" outlineLevel="1" x14ac:dyDescent="0.2">
      <c r="B55" s="157"/>
      <c r="C55" s="157"/>
      <c r="D55" s="157"/>
      <c r="E55" s="157"/>
    </row>
    <row r="56" spans="2:21" ht="4.5" customHeight="1" outlineLevel="1" x14ac:dyDescent="0.2">
      <c r="B56" s="157"/>
      <c r="C56" s="157"/>
      <c r="D56" s="157"/>
      <c r="E56" s="157"/>
    </row>
    <row r="57" spans="2:21" ht="2.25" customHeight="1" outlineLevel="1" x14ac:dyDescent="0.2">
      <c r="B57" s="157"/>
      <c r="C57" s="157"/>
      <c r="D57" s="157"/>
      <c r="E57" s="157"/>
    </row>
    <row r="58" spans="2:21" ht="4.5" customHeight="1" outlineLevel="1" x14ac:dyDescent="0.2">
      <c r="B58" s="157"/>
      <c r="C58" s="157"/>
      <c r="D58" s="157"/>
      <c r="E58" s="157"/>
    </row>
    <row r="59" spans="2:21" ht="55.5" customHeight="1" outlineLevel="1" x14ac:dyDescent="0.2">
      <c r="B59" s="157"/>
      <c r="C59" s="157"/>
      <c r="D59" s="157"/>
      <c r="E59" s="157"/>
      <c r="F59">
        <v>65529</v>
      </c>
    </row>
    <row r="60" spans="2:21" outlineLevel="1" x14ac:dyDescent="0.2"/>
    <row r="61" spans="2:21" outlineLevel="1" x14ac:dyDescent="0.2">
      <c r="C61" t="s">
        <v>46</v>
      </c>
      <c r="D61" s="150" t="s">
        <v>33</v>
      </c>
      <c r="E61" s="150"/>
      <c r="F61" s="35" t="s">
        <v>26</v>
      </c>
      <c r="G61" s="80"/>
      <c r="H61" s="80" t="s">
        <v>27</v>
      </c>
      <c r="I61" s="80"/>
      <c r="J61" s="80"/>
      <c r="K61" s="35" t="s">
        <v>1202</v>
      </c>
      <c r="L61" s="35" t="s">
        <v>28</v>
      </c>
      <c r="M61" s="80"/>
      <c r="N61" s="35" t="s">
        <v>29</v>
      </c>
      <c r="O61" s="80"/>
      <c r="P61" s="80"/>
      <c r="Q61" s="80"/>
      <c r="R61" s="35" t="s">
        <v>1196</v>
      </c>
      <c r="S61" t="s">
        <v>1197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УСЛУГИ;00000000000000000130</v>
      </c>
    </row>
    <row r="62" spans="2:21" outlineLevel="1" x14ac:dyDescent="0.2">
      <c r="C62" t="s">
        <v>31</v>
      </c>
      <c r="D62" s="150"/>
      <c r="E62" s="150"/>
      <c r="F62" s="35" t="s">
        <v>1203</v>
      </c>
      <c r="G62" s="80"/>
      <c r="H62" s="80" t="s">
        <v>1204</v>
      </c>
      <c r="I62" s="80"/>
      <c r="J62" s="80"/>
      <c r="K62" s="35" t="s">
        <v>1202</v>
      </c>
      <c r="L62" s="35" t="s">
        <v>1205</v>
      </c>
      <c r="M62" s="80"/>
      <c r="N62" s="35" t="s">
        <v>1206</v>
      </c>
      <c r="O62" s="80"/>
      <c r="P62" s="80"/>
      <c r="Q62" s="80"/>
      <c r="R62" s="35" t="s">
        <v>1200</v>
      </c>
      <c r="S62" s="79" t="s">
        <v>1201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г.Москве;004525988;40102810545370000003;;003;РЕЗИДЕНТЫ - ПЛАТНЫЕ УСЛУГИ;00000000000000000130</v>
      </c>
    </row>
    <row r="63" spans="2:21" outlineLevel="1" x14ac:dyDescent="0.2"/>
    <row r="64" spans="2:21" outlineLevel="1" x14ac:dyDescent="0.2">
      <c r="C64" s="51" t="s">
        <v>38</v>
      </c>
      <c r="D64" s="150">
        <v>39588</v>
      </c>
      <c r="E64" s="150"/>
      <c r="F64" s="51" t="str">
        <f t="shared" ref="F64:F70" si="0">C64&amp;";"&amp;D64</f>
        <v>ВБ/5/12-1;39588</v>
      </c>
    </row>
    <row r="65" spans="3:6" outlineLevel="1" x14ac:dyDescent="0.2">
      <c r="C65" s="51" t="s">
        <v>39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40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41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44</v>
      </c>
      <c r="D68" s="35" t="s">
        <v>45</v>
      </c>
      <c r="E68" s="51"/>
      <c r="F68" s="51" t="str">
        <f>C68&amp;";"&amp;D68</f>
        <v>ВБ/5/2-4;112755</v>
      </c>
    </row>
    <row r="69" spans="3:6" outlineLevel="1" x14ac:dyDescent="0.2">
      <c r="C69" s="51" t="s">
        <v>42</v>
      </c>
      <c r="D69" s="150">
        <v>39595</v>
      </c>
      <c r="E69" s="150"/>
      <c r="F69" s="51" t="str">
        <f t="shared" si="0"/>
        <v>ВБ/5/12-5;39595</v>
      </c>
    </row>
    <row r="70" spans="3:6" outlineLevel="1" x14ac:dyDescent="0.2">
      <c r="C70" s="51" t="s">
        <v>43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490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67</v>
      </c>
      <c r="C1" s="63" t="s">
        <v>68</v>
      </c>
      <c r="D1" s="66" t="s">
        <v>50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1123</v>
      </c>
      <c r="C2" s="63" t="s">
        <v>1124</v>
      </c>
      <c r="D2" s="66" t="s">
        <v>50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959</v>
      </c>
      <c r="C3" s="58" t="s">
        <v>960</v>
      </c>
      <c r="D3" s="55" t="s">
        <v>50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69</v>
      </c>
      <c r="C4" s="63" t="s">
        <v>70</v>
      </c>
      <c r="D4" s="66" t="s">
        <v>50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65">
        <v>817448</v>
      </c>
      <c r="B5" s="66" t="s">
        <v>1005</v>
      </c>
      <c r="C5" s="63" t="s">
        <v>1006</v>
      </c>
      <c r="D5" s="66" t="s">
        <v>50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55">
        <v>816785</v>
      </c>
      <c r="B6" s="55" t="s">
        <v>805</v>
      </c>
      <c r="C6" s="58" t="s">
        <v>806</v>
      </c>
      <c r="D6" s="55" t="s">
        <v>50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65">
        <v>785028</v>
      </c>
      <c r="B7" s="66" t="s">
        <v>421</v>
      </c>
      <c r="C7" s="63" t="s">
        <v>422</v>
      </c>
      <c r="D7" s="66" t="s">
        <v>50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55">
        <v>816845</v>
      </c>
      <c r="B8" s="55" t="s">
        <v>845</v>
      </c>
      <c r="C8" s="58" t="s">
        <v>846</v>
      </c>
      <c r="D8" s="55" t="s">
        <v>50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814791</v>
      </c>
      <c r="B9" s="66" t="s">
        <v>609</v>
      </c>
      <c r="C9" s="63" t="s">
        <v>610</v>
      </c>
      <c r="D9" s="66" t="s">
        <v>50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814803</v>
      </c>
      <c r="B10" s="66" t="s">
        <v>611</v>
      </c>
      <c r="C10" s="63" t="s">
        <v>612</v>
      </c>
      <c r="D10" s="66" t="s">
        <v>50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814810</v>
      </c>
      <c r="B11" s="66" t="s">
        <v>613</v>
      </c>
      <c r="C11" s="63" t="s">
        <v>614</v>
      </c>
      <c r="D11" s="66" t="s">
        <v>50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785026</v>
      </c>
      <c r="B12" s="66" t="s">
        <v>419</v>
      </c>
      <c r="C12" s="63" t="s">
        <v>420</v>
      </c>
      <c r="D12" s="66" t="s">
        <v>50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816707</v>
      </c>
      <c r="B13" s="66" t="s">
        <v>1055</v>
      </c>
      <c r="C13" s="63" t="s">
        <v>1056</v>
      </c>
      <c r="D13" s="66" t="s">
        <v>50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142585</v>
      </c>
      <c r="B14" s="66" t="s">
        <v>199</v>
      </c>
      <c r="C14" s="63" t="s">
        <v>200</v>
      </c>
      <c r="D14" s="66" t="s">
        <v>50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141885</v>
      </c>
      <c r="B15" s="66" t="s">
        <v>191</v>
      </c>
      <c r="C15" s="63" t="s">
        <v>192</v>
      </c>
      <c r="D15" s="66" t="s">
        <v>50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784842</v>
      </c>
      <c r="B16" s="66" t="s">
        <v>347</v>
      </c>
      <c r="C16" s="63" t="s">
        <v>348</v>
      </c>
      <c r="D16" s="66" t="s">
        <v>50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65">
        <v>127667</v>
      </c>
      <c r="B17" s="66" t="s">
        <v>71</v>
      </c>
      <c r="C17" s="63" t="s">
        <v>72</v>
      </c>
      <c r="D17" s="66" t="s">
        <v>50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55">
        <v>817705</v>
      </c>
      <c r="B18" s="55" t="s">
        <v>871</v>
      </c>
      <c r="C18" s="58" t="s">
        <v>872</v>
      </c>
      <c r="D18" s="55" t="s">
        <v>50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820436</v>
      </c>
      <c r="B19" s="66" t="s">
        <v>1121</v>
      </c>
      <c r="C19" s="63" t="s">
        <v>1122</v>
      </c>
      <c r="D19" s="66" t="s">
        <v>50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820427</v>
      </c>
      <c r="B20" s="66" t="s">
        <v>1119</v>
      </c>
      <c r="C20" s="63" t="s">
        <v>1120</v>
      </c>
      <c r="D20" s="66" t="s">
        <v>50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789913</v>
      </c>
      <c r="B21" s="66" t="s">
        <v>575</v>
      </c>
      <c r="C21" s="63" t="s">
        <v>576</v>
      </c>
      <c r="D21" s="66" t="s">
        <v>50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827955</v>
      </c>
      <c r="B22" s="66" t="s">
        <v>1195</v>
      </c>
      <c r="C22" s="63" t="s">
        <v>576</v>
      </c>
      <c r="D22" s="66" t="s">
        <v>50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817450</v>
      </c>
      <c r="B23" s="66" t="s">
        <v>1007</v>
      </c>
      <c r="C23" s="63" t="s">
        <v>1008</v>
      </c>
      <c r="D23" s="66" t="s">
        <v>50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784843</v>
      </c>
      <c r="B24" s="66" t="s">
        <v>349</v>
      </c>
      <c r="C24" s="63" t="s">
        <v>350</v>
      </c>
      <c r="D24" s="66" t="s">
        <v>50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148950</v>
      </c>
      <c r="B25" s="66" t="s">
        <v>307</v>
      </c>
      <c r="C25" s="63" t="s">
        <v>308</v>
      </c>
      <c r="D25" s="66" t="s">
        <v>50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814825</v>
      </c>
      <c r="B26" s="66" t="s">
        <v>615</v>
      </c>
      <c r="C26" s="63" t="s">
        <v>616</v>
      </c>
      <c r="D26" s="66" t="s">
        <v>50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142582</v>
      </c>
      <c r="B27" s="66" t="s">
        <v>197</v>
      </c>
      <c r="C27" s="63" t="s">
        <v>198</v>
      </c>
      <c r="D27" s="66" t="s">
        <v>50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785022</v>
      </c>
      <c r="B28" s="66" t="s">
        <v>417</v>
      </c>
      <c r="C28" s="63" t="s">
        <v>418</v>
      </c>
      <c r="D28" s="66" t="s">
        <v>50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785019</v>
      </c>
      <c r="B29" s="66" t="s">
        <v>415</v>
      </c>
      <c r="C29" s="63" t="s">
        <v>416</v>
      </c>
      <c r="D29" s="66" t="s">
        <v>50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65">
        <v>148952</v>
      </c>
      <c r="B30" s="66" t="s">
        <v>309</v>
      </c>
      <c r="C30" s="63" t="s">
        <v>310</v>
      </c>
      <c r="D30" s="66" t="s">
        <v>50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142594</v>
      </c>
      <c r="B31" s="66" t="s">
        <v>201</v>
      </c>
      <c r="C31" s="63" t="s">
        <v>202</v>
      </c>
      <c r="D31" s="66" t="s">
        <v>50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816788</v>
      </c>
      <c r="B32" s="55" t="s">
        <v>807</v>
      </c>
      <c r="C32" s="58" t="s">
        <v>808</v>
      </c>
      <c r="D32" s="55" t="s">
        <v>50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784844</v>
      </c>
      <c r="B33" s="66" t="s">
        <v>351</v>
      </c>
      <c r="C33" s="63" t="s">
        <v>352</v>
      </c>
      <c r="D33" s="66" t="s">
        <v>50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55">
        <v>816791</v>
      </c>
      <c r="B34" s="55" t="s">
        <v>809</v>
      </c>
      <c r="C34" s="58" t="s">
        <v>810</v>
      </c>
      <c r="D34" s="55" t="s">
        <v>50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814830</v>
      </c>
      <c r="B35" s="66" t="s">
        <v>617</v>
      </c>
      <c r="C35" s="63" t="s">
        <v>618</v>
      </c>
      <c r="D35" s="66" t="s">
        <v>50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65">
        <v>127883</v>
      </c>
      <c r="B36" s="66" t="s">
        <v>175</v>
      </c>
      <c r="C36" s="63" t="s">
        <v>176</v>
      </c>
      <c r="D36" s="66" t="s">
        <v>50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65">
        <v>817781</v>
      </c>
      <c r="B37" s="66" t="s">
        <v>1025</v>
      </c>
      <c r="C37" s="63" t="s">
        <v>1026</v>
      </c>
      <c r="D37" s="66" t="s">
        <v>50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820650</v>
      </c>
      <c r="B38" s="66" t="s">
        <v>1179</v>
      </c>
      <c r="C38" s="63" t="s">
        <v>1180</v>
      </c>
      <c r="D38" s="66" t="s">
        <v>50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55">
        <v>816793</v>
      </c>
      <c r="B39" s="55" t="s">
        <v>811</v>
      </c>
      <c r="C39" s="58" t="s">
        <v>812</v>
      </c>
      <c r="D39" s="55" t="s">
        <v>50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55">
        <v>829752</v>
      </c>
      <c r="B40" s="55" t="s">
        <v>967</v>
      </c>
      <c r="C40" s="58" t="s">
        <v>968</v>
      </c>
      <c r="D40" s="55" t="s">
        <v>969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142616</v>
      </c>
      <c r="B41" s="66" t="s">
        <v>203</v>
      </c>
      <c r="C41" s="63" t="s">
        <v>204</v>
      </c>
      <c r="D41" s="66" t="s">
        <v>50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816729</v>
      </c>
      <c r="B42" s="66" t="s">
        <v>1057</v>
      </c>
      <c r="C42" s="63" t="s">
        <v>1058</v>
      </c>
      <c r="D42" s="66" t="s">
        <v>50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785035</v>
      </c>
      <c r="B43" s="66" t="s">
        <v>423</v>
      </c>
      <c r="C43" s="63" t="s">
        <v>424</v>
      </c>
      <c r="D43" s="66" t="s">
        <v>50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113484</v>
      </c>
      <c r="B44" s="66" t="s">
        <v>55</v>
      </c>
      <c r="C44" s="63" t="s">
        <v>56</v>
      </c>
      <c r="D44" s="66" t="s">
        <v>50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820446</v>
      </c>
      <c r="B45" s="66" t="s">
        <v>1125</v>
      </c>
      <c r="C45" s="63" t="s">
        <v>1126</v>
      </c>
      <c r="D45" s="66" t="s">
        <v>50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142624</v>
      </c>
      <c r="B46" s="66" t="s">
        <v>207</v>
      </c>
      <c r="C46" s="63" t="s">
        <v>208</v>
      </c>
      <c r="D46" s="66" t="s">
        <v>50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65">
        <v>130820</v>
      </c>
      <c r="B47" s="66" t="s">
        <v>177</v>
      </c>
      <c r="C47" s="63" t="s">
        <v>178</v>
      </c>
      <c r="D47" s="66" t="s">
        <v>50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142626</v>
      </c>
      <c r="B48" s="66" t="s">
        <v>209</v>
      </c>
      <c r="C48" s="63" t="s">
        <v>210</v>
      </c>
      <c r="D48" s="66" t="s">
        <v>50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65">
        <v>814833</v>
      </c>
      <c r="B49" s="66" t="s">
        <v>1047</v>
      </c>
      <c r="C49" s="63" t="s">
        <v>1048</v>
      </c>
      <c r="D49" s="66" t="s">
        <v>50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55">
        <v>817725</v>
      </c>
      <c r="B50" s="55" t="s">
        <v>873</v>
      </c>
      <c r="C50" s="58" t="s">
        <v>874</v>
      </c>
      <c r="D50" s="55" t="s">
        <v>50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65">
        <v>142617</v>
      </c>
      <c r="B51" s="66" t="s">
        <v>205</v>
      </c>
      <c r="C51" s="63" t="s">
        <v>206</v>
      </c>
      <c r="D51" s="66" t="s">
        <v>50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55">
        <v>816886</v>
      </c>
      <c r="B52" s="55" t="s">
        <v>869</v>
      </c>
      <c r="C52" s="58" t="s">
        <v>870</v>
      </c>
      <c r="D52" s="55" t="s">
        <v>50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785036</v>
      </c>
      <c r="B53" s="66" t="s">
        <v>425</v>
      </c>
      <c r="C53" s="63" t="s">
        <v>426</v>
      </c>
      <c r="D53" s="66" t="s">
        <v>50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55">
        <v>816800</v>
      </c>
      <c r="B54" s="55" t="s">
        <v>815</v>
      </c>
      <c r="C54" s="58" t="s">
        <v>816</v>
      </c>
      <c r="D54" s="55" t="s">
        <v>50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148964</v>
      </c>
      <c r="B55" s="66" t="s">
        <v>313</v>
      </c>
      <c r="C55" s="63" t="s">
        <v>314</v>
      </c>
      <c r="D55" s="66" t="s">
        <v>50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828079</v>
      </c>
      <c r="B56" s="66" t="s">
        <v>1041</v>
      </c>
      <c r="C56" s="63" t="s">
        <v>1042</v>
      </c>
      <c r="D56" s="66" t="s">
        <v>50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148958</v>
      </c>
      <c r="B57" s="66" t="s">
        <v>311</v>
      </c>
      <c r="C57" s="63" t="s">
        <v>312</v>
      </c>
      <c r="D57" s="66" t="s">
        <v>50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142633</v>
      </c>
      <c r="B58" s="66" t="s">
        <v>211</v>
      </c>
      <c r="C58" s="63" t="s">
        <v>212</v>
      </c>
      <c r="D58" s="66" t="s">
        <v>50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65">
        <v>806161</v>
      </c>
      <c r="B59" s="66" t="s">
        <v>593</v>
      </c>
      <c r="C59" s="63" t="s">
        <v>594</v>
      </c>
      <c r="D59" s="66" t="s">
        <v>50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785039</v>
      </c>
      <c r="B60" s="66" t="s">
        <v>427</v>
      </c>
      <c r="C60" s="63" t="s">
        <v>428</v>
      </c>
      <c r="D60" s="66" t="s">
        <v>50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814837</v>
      </c>
      <c r="B61" s="66" t="s">
        <v>619</v>
      </c>
      <c r="C61" s="63" t="s">
        <v>620</v>
      </c>
      <c r="D61" s="66" t="s">
        <v>50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788188</v>
      </c>
      <c r="B62" s="66" t="s">
        <v>541</v>
      </c>
      <c r="C62" s="63" t="s">
        <v>542</v>
      </c>
      <c r="D62" s="66" t="s">
        <v>50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816795</v>
      </c>
      <c r="B63" s="55" t="s">
        <v>813</v>
      </c>
      <c r="C63" s="58" t="s">
        <v>814</v>
      </c>
      <c r="D63" s="55" t="s">
        <v>50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814840</v>
      </c>
      <c r="B64" s="66" t="s">
        <v>621</v>
      </c>
      <c r="C64" s="63" t="s">
        <v>622</v>
      </c>
      <c r="D64" s="66" t="s">
        <v>50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785393</v>
      </c>
      <c r="B65" s="66" t="s">
        <v>495</v>
      </c>
      <c r="C65" s="63" t="s">
        <v>496</v>
      </c>
      <c r="D65" s="66" t="s">
        <v>50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65">
        <v>785040</v>
      </c>
      <c r="B66" s="66" t="s">
        <v>429</v>
      </c>
      <c r="C66" s="63" t="s">
        <v>430</v>
      </c>
      <c r="D66" s="66" t="s">
        <v>50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55">
        <v>816805</v>
      </c>
      <c r="B67" s="55" t="s">
        <v>817</v>
      </c>
      <c r="C67" s="58" t="s">
        <v>818</v>
      </c>
      <c r="D67" s="55" t="s">
        <v>50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784845</v>
      </c>
      <c r="B68" s="66" t="s">
        <v>353</v>
      </c>
      <c r="C68" s="63" t="s">
        <v>354</v>
      </c>
      <c r="D68" s="66" t="s">
        <v>50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785042</v>
      </c>
      <c r="B69" s="66" t="s">
        <v>431</v>
      </c>
      <c r="C69" s="63" t="s">
        <v>432</v>
      </c>
      <c r="D69" s="66" t="s">
        <v>50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55">
        <v>816883</v>
      </c>
      <c r="B70" s="55" t="s">
        <v>867</v>
      </c>
      <c r="C70" s="58" t="s">
        <v>868</v>
      </c>
      <c r="D70" s="55" t="s">
        <v>50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814843</v>
      </c>
      <c r="B71" s="66" t="s">
        <v>623</v>
      </c>
      <c r="C71" s="63" t="s">
        <v>624</v>
      </c>
      <c r="D71" s="66" t="s">
        <v>50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127686</v>
      </c>
      <c r="B72" s="66" t="s">
        <v>73</v>
      </c>
      <c r="C72" s="63" t="s">
        <v>74</v>
      </c>
      <c r="D72" s="66" t="s">
        <v>50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792246</v>
      </c>
      <c r="B73" s="66" t="s">
        <v>1045</v>
      </c>
      <c r="C73" s="63" t="s">
        <v>1046</v>
      </c>
      <c r="D73" s="66" t="s">
        <v>50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816740</v>
      </c>
      <c r="B74" s="66" t="s">
        <v>1061</v>
      </c>
      <c r="C74" s="63" t="s">
        <v>1062</v>
      </c>
      <c r="D74" s="66" t="s">
        <v>50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816736</v>
      </c>
      <c r="B75" s="66" t="s">
        <v>1059</v>
      </c>
      <c r="C75" s="63" t="s">
        <v>1060</v>
      </c>
      <c r="D75" s="66" t="s">
        <v>50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820450</v>
      </c>
      <c r="B76" s="66" t="s">
        <v>1127</v>
      </c>
      <c r="C76" s="63" t="s">
        <v>1128</v>
      </c>
      <c r="D76" s="66" t="s">
        <v>50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820350</v>
      </c>
      <c r="B77" s="66" t="s">
        <v>1117</v>
      </c>
      <c r="C77" s="63" t="s">
        <v>1118</v>
      </c>
      <c r="D77" s="66" t="s">
        <v>50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816743</v>
      </c>
      <c r="B78" s="66" t="s">
        <v>1063</v>
      </c>
      <c r="C78" s="63" t="s">
        <v>1064</v>
      </c>
      <c r="D78" s="66" t="s">
        <v>50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788189</v>
      </c>
      <c r="B79" s="66" t="s">
        <v>543</v>
      </c>
      <c r="C79" s="63" t="s">
        <v>544</v>
      </c>
      <c r="D79" s="66" t="s">
        <v>50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65">
        <v>814845</v>
      </c>
      <c r="B80" s="66" t="s">
        <v>625</v>
      </c>
      <c r="C80" s="63" t="s">
        <v>626</v>
      </c>
      <c r="D80" s="66" t="s">
        <v>50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127688</v>
      </c>
      <c r="B81" s="66" t="s">
        <v>75</v>
      </c>
      <c r="C81" s="63" t="s">
        <v>76</v>
      </c>
      <c r="D81" s="66" t="s">
        <v>50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127689</v>
      </c>
      <c r="B82" s="66" t="s">
        <v>77</v>
      </c>
      <c r="C82" s="63" t="s">
        <v>78</v>
      </c>
      <c r="D82" s="66" t="s">
        <v>50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785044</v>
      </c>
      <c r="B83" s="66" t="s">
        <v>433</v>
      </c>
      <c r="C83" s="63" t="s">
        <v>434</v>
      </c>
      <c r="D83" s="66" t="s">
        <v>50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55">
        <v>827181</v>
      </c>
      <c r="B84" s="55" t="s">
        <v>949</v>
      </c>
      <c r="C84" s="58" t="s">
        <v>950</v>
      </c>
      <c r="D84" s="55" t="s">
        <v>50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789712</v>
      </c>
      <c r="B85" s="66" t="s">
        <v>571</v>
      </c>
      <c r="C85" s="63" t="s">
        <v>572</v>
      </c>
      <c r="D85" s="66" t="s">
        <v>50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148972</v>
      </c>
      <c r="B86" s="66" t="s">
        <v>315</v>
      </c>
      <c r="C86" s="63" t="s">
        <v>316</v>
      </c>
      <c r="D86" s="66" t="s">
        <v>50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785045</v>
      </c>
      <c r="B87" s="66" t="s">
        <v>435</v>
      </c>
      <c r="C87" s="63" t="s">
        <v>436</v>
      </c>
      <c r="D87" s="66" t="s">
        <v>50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788615</v>
      </c>
      <c r="B88" s="66" t="s">
        <v>561</v>
      </c>
      <c r="C88" s="63" t="s">
        <v>562</v>
      </c>
      <c r="D88" s="66" t="s">
        <v>50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65">
        <v>779788</v>
      </c>
      <c r="B89" s="66" t="s">
        <v>341</v>
      </c>
      <c r="C89" s="63" t="s">
        <v>342</v>
      </c>
      <c r="D89" s="66" t="s">
        <v>50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799855</v>
      </c>
      <c r="B90" s="66" t="s">
        <v>587</v>
      </c>
      <c r="C90" s="63" t="s">
        <v>588</v>
      </c>
      <c r="D90" s="66" t="s">
        <v>50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822720</v>
      </c>
      <c r="B91" s="66" t="s">
        <v>1193</v>
      </c>
      <c r="C91" s="63" t="s">
        <v>1194</v>
      </c>
      <c r="D91" s="66" t="s">
        <v>50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788190</v>
      </c>
      <c r="B92" s="66" t="s">
        <v>545</v>
      </c>
      <c r="C92" s="63" t="s">
        <v>546</v>
      </c>
      <c r="D92" s="66" t="s">
        <v>50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55">
        <v>820677</v>
      </c>
      <c r="B93" s="55" t="s">
        <v>923</v>
      </c>
      <c r="C93" s="58" t="s">
        <v>924</v>
      </c>
      <c r="D93" s="55" t="s">
        <v>50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814847</v>
      </c>
      <c r="B94" s="66" t="s">
        <v>627</v>
      </c>
      <c r="C94" s="63" t="s">
        <v>628</v>
      </c>
      <c r="D94" s="66" t="s">
        <v>50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142661</v>
      </c>
      <c r="B95" s="66" t="s">
        <v>213</v>
      </c>
      <c r="C95" s="63" t="s">
        <v>214</v>
      </c>
      <c r="D95" s="66" t="s">
        <v>50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814849</v>
      </c>
      <c r="B96" s="66" t="s">
        <v>629</v>
      </c>
      <c r="C96" s="63" t="s">
        <v>630</v>
      </c>
      <c r="D96" s="66" t="s">
        <v>50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148974</v>
      </c>
      <c r="B97" s="66" t="s">
        <v>1043</v>
      </c>
      <c r="C97" s="63" t="s">
        <v>1044</v>
      </c>
      <c r="D97" s="66" t="s">
        <v>50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816139</v>
      </c>
      <c r="B98" s="66" t="s">
        <v>995</v>
      </c>
      <c r="C98" s="63" t="s">
        <v>996</v>
      </c>
      <c r="D98" s="66" t="s">
        <v>50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785046</v>
      </c>
      <c r="B99" s="66" t="s">
        <v>437</v>
      </c>
      <c r="C99" s="63" t="s">
        <v>438</v>
      </c>
      <c r="D99" s="66" t="s">
        <v>50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142662</v>
      </c>
      <c r="B100" s="66" t="s">
        <v>215</v>
      </c>
      <c r="C100" s="63" t="s">
        <v>216</v>
      </c>
      <c r="D100" s="66" t="s">
        <v>50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65">
        <v>816745</v>
      </c>
      <c r="B101" s="66" t="s">
        <v>1065</v>
      </c>
      <c r="C101" s="63" t="s">
        <v>1066</v>
      </c>
      <c r="D101" s="66" t="s">
        <v>50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127693</v>
      </c>
      <c r="B102" s="66" t="s">
        <v>79</v>
      </c>
      <c r="C102" s="63" t="s">
        <v>80</v>
      </c>
      <c r="D102" s="66" t="s">
        <v>50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814851</v>
      </c>
      <c r="B103" s="66" t="s">
        <v>631</v>
      </c>
      <c r="C103" s="63" t="s">
        <v>632</v>
      </c>
      <c r="D103" s="66" t="s">
        <v>50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785047</v>
      </c>
      <c r="B104" s="66" t="s">
        <v>439</v>
      </c>
      <c r="C104" s="63" t="s">
        <v>440</v>
      </c>
      <c r="D104" s="66" t="s">
        <v>50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814864</v>
      </c>
      <c r="B105" s="66" t="s">
        <v>633</v>
      </c>
      <c r="C105" s="63" t="s">
        <v>634</v>
      </c>
      <c r="D105" s="66" t="s">
        <v>50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825050</v>
      </c>
      <c r="B106" s="55" t="s">
        <v>941</v>
      </c>
      <c r="C106" s="58" t="s">
        <v>942</v>
      </c>
      <c r="D106" s="55" t="s">
        <v>50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784846</v>
      </c>
      <c r="B107" s="66" t="s">
        <v>355</v>
      </c>
      <c r="C107" s="63" t="s">
        <v>356</v>
      </c>
      <c r="D107" s="66" t="s">
        <v>50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814872</v>
      </c>
      <c r="B108" s="66" t="s">
        <v>635</v>
      </c>
      <c r="C108" s="63" t="s">
        <v>636</v>
      </c>
      <c r="D108" s="66" t="s">
        <v>50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814879</v>
      </c>
      <c r="B109" s="66" t="s">
        <v>637</v>
      </c>
      <c r="C109" s="63" t="s">
        <v>638</v>
      </c>
      <c r="D109" s="66" t="s">
        <v>50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142666</v>
      </c>
      <c r="B110" s="66" t="s">
        <v>217</v>
      </c>
      <c r="C110" s="63" t="s">
        <v>218</v>
      </c>
      <c r="D110" s="66" t="s">
        <v>50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65">
        <v>815245</v>
      </c>
      <c r="B111" s="66" t="s">
        <v>983</v>
      </c>
      <c r="C111" s="63" t="s">
        <v>984</v>
      </c>
      <c r="D111" s="66" t="s">
        <v>50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825419</v>
      </c>
      <c r="B112" s="55" t="s">
        <v>943</v>
      </c>
      <c r="C112" s="58" t="s">
        <v>944</v>
      </c>
      <c r="D112" s="55" t="s">
        <v>50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127694</v>
      </c>
      <c r="B113" s="66" t="s">
        <v>81</v>
      </c>
      <c r="C113" s="63" t="s">
        <v>82</v>
      </c>
      <c r="D113" s="66" t="s">
        <v>50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127695</v>
      </c>
      <c r="B114" s="66" t="s">
        <v>83</v>
      </c>
      <c r="C114" s="63" t="s">
        <v>84</v>
      </c>
      <c r="D114" s="66" t="s">
        <v>50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785048</v>
      </c>
      <c r="B115" s="66" t="s">
        <v>441</v>
      </c>
      <c r="C115" s="63" t="s">
        <v>442</v>
      </c>
      <c r="D115" s="66" t="s">
        <v>50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814885</v>
      </c>
      <c r="B116" s="66" t="s">
        <v>639</v>
      </c>
      <c r="C116" s="63" t="s">
        <v>640</v>
      </c>
      <c r="D116" s="66" t="s">
        <v>50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65">
        <v>815213</v>
      </c>
      <c r="B117" s="66" t="s">
        <v>979</v>
      </c>
      <c r="C117" s="63" t="s">
        <v>980</v>
      </c>
      <c r="D117" s="66" t="s">
        <v>50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55">
        <v>816847</v>
      </c>
      <c r="B118" s="55" t="s">
        <v>847</v>
      </c>
      <c r="C118" s="58" t="s">
        <v>848</v>
      </c>
      <c r="D118" s="55" t="s">
        <v>50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816849</v>
      </c>
      <c r="B119" s="55" t="s">
        <v>849</v>
      </c>
      <c r="C119" s="58" t="s">
        <v>850</v>
      </c>
      <c r="D119" s="55" t="s">
        <v>50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814890</v>
      </c>
      <c r="B120" s="66" t="s">
        <v>641</v>
      </c>
      <c r="C120" s="63" t="s">
        <v>642</v>
      </c>
      <c r="D120" s="66" t="s">
        <v>50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785398</v>
      </c>
      <c r="B121" s="66" t="s">
        <v>497</v>
      </c>
      <c r="C121" s="63" t="s">
        <v>498</v>
      </c>
      <c r="D121" s="66" t="s">
        <v>50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814897</v>
      </c>
      <c r="B122" s="66" t="s">
        <v>643</v>
      </c>
      <c r="C122" s="63" t="s">
        <v>644</v>
      </c>
      <c r="D122" s="66" t="s">
        <v>50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784848</v>
      </c>
      <c r="B123" s="66" t="s">
        <v>357</v>
      </c>
      <c r="C123" s="63" t="s">
        <v>358</v>
      </c>
      <c r="D123" s="66" t="s">
        <v>50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55">
        <v>817740</v>
      </c>
      <c r="B124" s="55" t="s">
        <v>875</v>
      </c>
      <c r="C124" s="58" t="s">
        <v>876</v>
      </c>
      <c r="D124" s="55" t="s">
        <v>50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65">
        <v>127704</v>
      </c>
      <c r="B125" s="66" t="s">
        <v>85</v>
      </c>
      <c r="C125" s="63" t="s">
        <v>86</v>
      </c>
      <c r="D125" s="66" t="s">
        <v>50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55">
        <v>817742</v>
      </c>
      <c r="B126" s="55" t="s">
        <v>877</v>
      </c>
      <c r="C126" s="58" t="s">
        <v>878</v>
      </c>
      <c r="D126" s="55" t="s">
        <v>50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814786</v>
      </c>
      <c r="B127" s="66" t="s">
        <v>977</v>
      </c>
      <c r="C127" s="63" t="s">
        <v>978</v>
      </c>
      <c r="D127" s="66" t="s">
        <v>50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820454</v>
      </c>
      <c r="B128" s="66" t="s">
        <v>1129</v>
      </c>
      <c r="C128" s="63" t="s">
        <v>1130</v>
      </c>
      <c r="D128" s="66" t="s">
        <v>50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785050</v>
      </c>
      <c r="B129" s="66" t="s">
        <v>443</v>
      </c>
      <c r="C129" s="63" t="s">
        <v>444</v>
      </c>
      <c r="D129" s="66" t="s">
        <v>50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789692</v>
      </c>
      <c r="B130" s="66" t="s">
        <v>567</v>
      </c>
      <c r="C130" s="63" t="s">
        <v>568</v>
      </c>
      <c r="D130" s="66" t="s">
        <v>50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127706</v>
      </c>
      <c r="B131" s="66" t="s">
        <v>87</v>
      </c>
      <c r="C131" s="63" t="s">
        <v>88</v>
      </c>
      <c r="D131" s="66" t="s">
        <v>50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142733</v>
      </c>
      <c r="B132" s="66" t="s">
        <v>223</v>
      </c>
      <c r="C132" s="63" t="s">
        <v>224</v>
      </c>
      <c r="D132" s="66" t="s">
        <v>50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55">
        <v>816807</v>
      </c>
      <c r="B133" s="55" t="s">
        <v>819</v>
      </c>
      <c r="C133" s="58" t="s">
        <v>820</v>
      </c>
      <c r="D133" s="55" t="s">
        <v>50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142732</v>
      </c>
      <c r="B134" s="66" t="s">
        <v>221</v>
      </c>
      <c r="C134" s="63" t="s">
        <v>222</v>
      </c>
      <c r="D134" s="66" t="s">
        <v>50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142729</v>
      </c>
      <c r="B135" s="66" t="s">
        <v>219</v>
      </c>
      <c r="C135" s="63" t="s">
        <v>220</v>
      </c>
      <c r="D135" s="66" t="s">
        <v>50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65">
        <v>816749</v>
      </c>
      <c r="B136" s="66" t="s">
        <v>1067</v>
      </c>
      <c r="C136" s="63" t="s">
        <v>1068</v>
      </c>
      <c r="D136" s="66" t="s">
        <v>50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820346</v>
      </c>
      <c r="B137" s="66" t="s">
        <v>1115</v>
      </c>
      <c r="C137" s="63" t="s">
        <v>1116</v>
      </c>
      <c r="D137" s="66" t="s">
        <v>50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142766</v>
      </c>
      <c r="B138" s="66" t="s">
        <v>231</v>
      </c>
      <c r="C138" s="63" t="s">
        <v>232</v>
      </c>
      <c r="D138" s="66" t="s">
        <v>50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814912</v>
      </c>
      <c r="B139" s="66" t="s">
        <v>645</v>
      </c>
      <c r="C139" s="63" t="s">
        <v>646</v>
      </c>
      <c r="D139" s="66" t="s">
        <v>50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142757</v>
      </c>
      <c r="B140" s="66" t="s">
        <v>225</v>
      </c>
      <c r="C140" s="63" t="s">
        <v>226</v>
      </c>
      <c r="D140" s="66" t="s">
        <v>50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788621</v>
      </c>
      <c r="B141" s="66" t="s">
        <v>565</v>
      </c>
      <c r="C141" s="63" t="s">
        <v>566</v>
      </c>
      <c r="D141" s="66" t="s">
        <v>50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142764</v>
      </c>
      <c r="B142" s="66" t="s">
        <v>227</v>
      </c>
      <c r="C142" s="63" t="s">
        <v>228</v>
      </c>
      <c r="D142" s="66" t="s">
        <v>50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65">
        <v>127708</v>
      </c>
      <c r="B143" s="66" t="s">
        <v>89</v>
      </c>
      <c r="C143" s="63" t="s">
        <v>90</v>
      </c>
      <c r="D143" s="66" t="s">
        <v>50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55">
        <v>830945</v>
      </c>
      <c r="B144" s="55" t="s">
        <v>970</v>
      </c>
      <c r="C144" s="58" t="s">
        <v>90</v>
      </c>
      <c r="D144" s="55" t="s">
        <v>50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127711</v>
      </c>
      <c r="B145" s="66" t="s">
        <v>91</v>
      </c>
      <c r="C145" s="63" t="s">
        <v>92</v>
      </c>
      <c r="D145" s="66" t="s">
        <v>50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101742</v>
      </c>
      <c r="B146" s="66" t="s">
        <v>53</v>
      </c>
      <c r="C146" s="63" t="s">
        <v>54</v>
      </c>
      <c r="D146" s="66" t="s">
        <v>50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815334</v>
      </c>
      <c r="B147" s="66" t="s">
        <v>985</v>
      </c>
      <c r="C147" s="63" t="s">
        <v>986</v>
      </c>
      <c r="D147" s="66" t="s">
        <v>50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820343</v>
      </c>
      <c r="B148" s="66" t="s">
        <v>1113</v>
      </c>
      <c r="C148" s="63" t="s">
        <v>1114</v>
      </c>
      <c r="D148" s="66" t="s">
        <v>50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814915</v>
      </c>
      <c r="B149" s="66" t="s">
        <v>647</v>
      </c>
      <c r="C149" s="63" t="s">
        <v>648</v>
      </c>
      <c r="D149" s="66" t="s">
        <v>50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785051</v>
      </c>
      <c r="B150" s="66" t="s">
        <v>445</v>
      </c>
      <c r="C150" s="63" t="s">
        <v>446</v>
      </c>
      <c r="D150" s="66" t="s">
        <v>50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142765</v>
      </c>
      <c r="B151" s="66" t="s">
        <v>229</v>
      </c>
      <c r="C151" s="63" t="s">
        <v>230</v>
      </c>
      <c r="D151" s="66" t="s">
        <v>50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55">
        <v>816809</v>
      </c>
      <c r="B152" s="55" t="s">
        <v>821</v>
      </c>
      <c r="C152" s="58" t="s">
        <v>822</v>
      </c>
      <c r="D152" s="55" t="s">
        <v>50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65">
        <v>820456</v>
      </c>
      <c r="B153" s="66" t="s">
        <v>1131</v>
      </c>
      <c r="C153" s="63" t="s">
        <v>1132</v>
      </c>
      <c r="D153" s="66" t="s">
        <v>50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142767</v>
      </c>
      <c r="B154" s="66" t="s">
        <v>233</v>
      </c>
      <c r="C154" s="63" t="s">
        <v>234</v>
      </c>
      <c r="D154" s="66" t="s">
        <v>50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814917</v>
      </c>
      <c r="B155" s="66" t="s">
        <v>649</v>
      </c>
      <c r="C155" s="63" t="s">
        <v>650</v>
      </c>
      <c r="D155" s="66" t="s">
        <v>50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814921</v>
      </c>
      <c r="B156" s="66" t="s">
        <v>651</v>
      </c>
      <c r="C156" s="63" t="s">
        <v>652</v>
      </c>
      <c r="D156" s="66" t="s">
        <v>50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785053</v>
      </c>
      <c r="B157" s="66" t="s">
        <v>447</v>
      </c>
      <c r="C157" s="63" t="s">
        <v>448</v>
      </c>
      <c r="D157" s="66" t="s">
        <v>50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784849</v>
      </c>
      <c r="B158" s="66" t="s">
        <v>359</v>
      </c>
      <c r="C158" s="63" t="s">
        <v>360</v>
      </c>
      <c r="D158" s="66" t="s">
        <v>50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814927</v>
      </c>
      <c r="B159" s="66" t="s">
        <v>653</v>
      </c>
      <c r="C159" s="63" t="s">
        <v>654</v>
      </c>
      <c r="D159" s="66" t="s">
        <v>50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814932</v>
      </c>
      <c r="B160" s="66" t="s">
        <v>655</v>
      </c>
      <c r="C160" s="63" t="s">
        <v>656</v>
      </c>
      <c r="D160" s="66" t="s">
        <v>50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142768</v>
      </c>
      <c r="B161" s="66" t="s">
        <v>235</v>
      </c>
      <c r="C161" s="63" t="s">
        <v>236</v>
      </c>
      <c r="D161" s="66" t="s">
        <v>50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817769</v>
      </c>
      <c r="B162" s="66" t="s">
        <v>1009</v>
      </c>
      <c r="C162" s="63" t="s">
        <v>1010</v>
      </c>
      <c r="D162" s="66" t="s">
        <v>50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55">
        <v>816812</v>
      </c>
      <c r="B163" s="55" t="s">
        <v>823</v>
      </c>
      <c r="C163" s="58" t="s">
        <v>824</v>
      </c>
      <c r="D163" s="55" t="s">
        <v>50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814937</v>
      </c>
      <c r="B164" s="66" t="s">
        <v>657</v>
      </c>
      <c r="C164" s="63" t="s">
        <v>658</v>
      </c>
      <c r="D164" s="66" t="s">
        <v>50</v>
      </c>
      <c r="E164" s="50" t="str">
        <f t="shared" si="4"/>
        <v>Замурагин Юрий Михайлович;6-18М037/2018;814937;№6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Михайлович;6-18М037/2018;814937;№6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65">
        <v>142769</v>
      </c>
      <c r="B165" s="66" t="s">
        <v>237</v>
      </c>
      <c r="C165" s="63" t="s">
        <v>238</v>
      </c>
      <c r="D165" s="66" t="s">
        <v>50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65">
        <v>784850</v>
      </c>
      <c r="B166" s="66" t="s">
        <v>361</v>
      </c>
      <c r="C166" s="63" t="s">
        <v>362</v>
      </c>
      <c r="D166" s="66" t="s">
        <v>50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142770</v>
      </c>
      <c r="B167" s="66" t="s">
        <v>239</v>
      </c>
      <c r="C167" s="63" t="s">
        <v>240</v>
      </c>
      <c r="D167" s="66" t="s">
        <v>50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127712</v>
      </c>
      <c r="B168" s="66" t="s">
        <v>93</v>
      </c>
      <c r="C168" s="63" t="s">
        <v>94</v>
      </c>
      <c r="D168" s="66" t="s">
        <v>50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816751</v>
      </c>
      <c r="B169" s="66" t="s">
        <v>1069</v>
      </c>
      <c r="C169" s="63" t="s">
        <v>1070</v>
      </c>
      <c r="D169" s="66" t="s">
        <v>50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814943</v>
      </c>
      <c r="B170" s="66" t="s">
        <v>659</v>
      </c>
      <c r="C170" s="63" t="s">
        <v>660</v>
      </c>
      <c r="D170" s="66" t="s">
        <v>50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788196</v>
      </c>
      <c r="B171" s="66" t="s">
        <v>547</v>
      </c>
      <c r="C171" s="63" t="s">
        <v>548</v>
      </c>
      <c r="D171" s="66" t="s">
        <v>50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814947</v>
      </c>
      <c r="B172" s="66" t="s">
        <v>661</v>
      </c>
      <c r="C172" s="63" t="s">
        <v>662</v>
      </c>
      <c r="D172" s="66" t="s">
        <v>50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785402</v>
      </c>
      <c r="B173" s="66" t="s">
        <v>501</v>
      </c>
      <c r="C173" s="63" t="s">
        <v>502</v>
      </c>
      <c r="D173" s="66" t="s">
        <v>50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784851</v>
      </c>
      <c r="B174" s="66" t="s">
        <v>363</v>
      </c>
      <c r="C174" s="63" t="s">
        <v>364</v>
      </c>
      <c r="D174" s="66" t="s">
        <v>50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817772</v>
      </c>
      <c r="B175" s="66" t="s">
        <v>1011</v>
      </c>
      <c r="C175" s="63" t="s">
        <v>1012</v>
      </c>
      <c r="D175" s="66" t="s">
        <v>50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55">
        <v>817744</v>
      </c>
      <c r="B176" s="55" t="s">
        <v>879</v>
      </c>
      <c r="C176" s="58" t="s">
        <v>880</v>
      </c>
      <c r="D176" s="55" t="s">
        <v>50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55">
        <v>817746</v>
      </c>
      <c r="B177" s="55" t="s">
        <v>881</v>
      </c>
      <c r="C177" s="58" t="s">
        <v>882</v>
      </c>
      <c r="D177" s="55" t="s">
        <v>50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142771</v>
      </c>
      <c r="B178" s="66" t="s">
        <v>241</v>
      </c>
      <c r="C178" s="63" t="s">
        <v>242</v>
      </c>
      <c r="D178" s="66" t="s">
        <v>50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142773</v>
      </c>
      <c r="B179" s="66" t="s">
        <v>245</v>
      </c>
      <c r="C179" s="63" t="s">
        <v>246</v>
      </c>
      <c r="D179" s="66" t="s">
        <v>50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127715</v>
      </c>
      <c r="B180" s="66" t="s">
        <v>95</v>
      </c>
      <c r="C180" s="63" t="s">
        <v>96</v>
      </c>
      <c r="D180" s="66" t="s">
        <v>50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820341</v>
      </c>
      <c r="B181" s="66" t="s">
        <v>1111</v>
      </c>
      <c r="C181" s="63" t="s">
        <v>1112</v>
      </c>
      <c r="D181" s="66" t="s">
        <v>50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784853</v>
      </c>
      <c r="B182" s="66" t="s">
        <v>365</v>
      </c>
      <c r="C182" s="63" t="s">
        <v>366</v>
      </c>
      <c r="D182" s="66" t="s">
        <v>50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65">
        <v>785406</v>
      </c>
      <c r="B183" s="66" t="s">
        <v>503</v>
      </c>
      <c r="C183" s="63" t="s">
        <v>504</v>
      </c>
      <c r="D183" s="66" t="s">
        <v>50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65">
        <v>142772</v>
      </c>
      <c r="B184" s="66" t="s">
        <v>243</v>
      </c>
      <c r="C184" s="63" t="s">
        <v>244</v>
      </c>
      <c r="D184" s="66" t="s">
        <v>50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789930</v>
      </c>
      <c r="B185" s="66" t="s">
        <v>577</v>
      </c>
      <c r="C185" s="63" t="s">
        <v>578</v>
      </c>
      <c r="D185" s="66" t="s">
        <v>50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814953</v>
      </c>
      <c r="B186" s="66" t="s">
        <v>663</v>
      </c>
      <c r="C186" s="63" t="s">
        <v>664</v>
      </c>
      <c r="D186" s="66" t="s">
        <v>50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65">
        <v>820460</v>
      </c>
      <c r="B187" s="66" t="s">
        <v>1133</v>
      </c>
      <c r="C187" s="63" t="s">
        <v>1134</v>
      </c>
      <c r="D187" s="66" t="s">
        <v>50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65">
        <v>777777</v>
      </c>
      <c r="B188" s="66" t="s">
        <v>337</v>
      </c>
      <c r="C188" s="63" t="s">
        <v>338</v>
      </c>
      <c r="D188" s="66" t="s">
        <v>50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814959</v>
      </c>
      <c r="B189" s="66" t="s">
        <v>665</v>
      </c>
      <c r="C189" s="63" t="s">
        <v>666</v>
      </c>
      <c r="D189" s="66" t="s">
        <v>50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784854</v>
      </c>
      <c r="B190" s="66" t="s">
        <v>367</v>
      </c>
      <c r="C190" s="63" t="s">
        <v>368</v>
      </c>
      <c r="D190" s="66" t="s">
        <v>50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784855</v>
      </c>
      <c r="B191" s="66" t="s">
        <v>369</v>
      </c>
      <c r="C191" s="63" t="s">
        <v>370</v>
      </c>
      <c r="D191" s="66" t="s">
        <v>50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816753</v>
      </c>
      <c r="B192" s="66" t="s">
        <v>1071</v>
      </c>
      <c r="C192" s="63" t="s">
        <v>1072</v>
      </c>
      <c r="D192" s="66" t="s">
        <v>50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142774</v>
      </c>
      <c r="B193" s="66" t="s">
        <v>247</v>
      </c>
      <c r="C193" s="63" t="s">
        <v>248</v>
      </c>
      <c r="D193" s="66" t="s">
        <v>50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55">
        <v>827184</v>
      </c>
      <c r="B194" s="55" t="s">
        <v>951</v>
      </c>
      <c r="C194" s="58" t="s">
        <v>952</v>
      </c>
      <c r="D194" s="55" t="s">
        <v>50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55">
        <v>816881</v>
      </c>
      <c r="B195" s="55" t="s">
        <v>865</v>
      </c>
      <c r="C195" s="58" t="s">
        <v>866</v>
      </c>
      <c r="D195" s="55" t="s">
        <v>50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65">
        <v>788617</v>
      </c>
      <c r="B196" s="66" t="s">
        <v>563</v>
      </c>
      <c r="C196" s="63" t="s">
        <v>564</v>
      </c>
      <c r="D196" s="66" t="s">
        <v>50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155033</v>
      </c>
      <c r="B197" s="66" t="s">
        <v>335</v>
      </c>
      <c r="C197" s="63" t="s">
        <v>336</v>
      </c>
      <c r="D197" s="66" t="s">
        <v>50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55">
        <v>817748</v>
      </c>
      <c r="B198" s="55" t="s">
        <v>883</v>
      </c>
      <c r="C198" s="58" t="s">
        <v>884</v>
      </c>
      <c r="D198" s="55" t="s">
        <v>50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55">
        <v>816815</v>
      </c>
      <c r="B199" s="55" t="s">
        <v>825</v>
      </c>
      <c r="C199" s="58" t="s">
        <v>826</v>
      </c>
      <c r="D199" s="55" t="s">
        <v>50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814982</v>
      </c>
      <c r="B200" s="66" t="s">
        <v>667</v>
      </c>
      <c r="C200" s="63" t="s">
        <v>668</v>
      </c>
      <c r="D200" s="66" t="s">
        <v>50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785063</v>
      </c>
      <c r="B201" s="66" t="s">
        <v>455</v>
      </c>
      <c r="C201" s="63" t="s">
        <v>456</v>
      </c>
      <c r="D201" s="66" t="s">
        <v>50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785409</v>
      </c>
      <c r="B202" s="66" t="s">
        <v>505</v>
      </c>
      <c r="C202" s="63" t="s">
        <v>506</v>
      </c>
      <c r="D202" s="66" t="s">
        <v>50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814985</v>
      </c>
      <c r="B203" s="66" t="s">
        <v>669</v>
      </c>
      <c r="C203" s="63" t="s">
        <v>670</v>
      </c>
      <c r="D203" s="66" t="s">
        <v>50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65">
        <v>785411</v>
      </c>
      <c r="B204" s="66" t="s">
        <v>507</v>
      </c>
      <c r="C204" s="63" t="s">
        <v>508</v>
      </c>
      <c r="D204" s="66" t="s">
        <v>50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127723</v>
      </c>
      <c r="B205" s="66" t="s">
        <v>101</v>
      </c>
      <c r="C205" s="63" t="s">
        <v>102</v>
      </c>
      <c r="D205" s="66" t="s">
        <v>50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142789</v>
      </c>
      <c r="B206" s="66" t="s">
        <v>255</v>
      </c>
      <c r="C206" s="63" t="s">
        <v>256</v>
      </c>
      <c r="D206" s="66" t="s">
        <v>50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55">
        <v>817750</v>
      </c>
      <c r="B207" s="55" t="s">
        <v>885</v>
      </c>
      <c r="C207" s="58" t="s">
        <v>886</v>
      </c>
      <c r="D207" s="55" t="s">
        <v>50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785059</v>
      </c>
      <c r="B208" s="66" t="s">
        <v>453</v>
      </c>
      <c r="C208" s="63" t="s">
        <v>454</v>
      </c>
      <c r="D208" s="66" t="s">
        <v>50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784859</v>
      </c>
      <c r="B209" s="66" t="s">
        <v>371</v>
      </c>
      <c r="C209" s="63" t="s">
        <v>372</v>
      </c>
      <c r="D209" s="66" t="s">
        <v>50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142777</v>
      </c>
      <c r="B210" s="66" t="s">
        <v>249</v>
      </c>
      <c r="C210" s="63" t="s">
        <v>250</v>
      </c>
      <c r="D210" s="66" t="s">
        <v>50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149009</v>
      </c>
      <c r="B211" s="66" t="s">
        <v>319</v>
      </c>
      <c r="C211" s="63" t="s">
        <v>320</v>
      </c>
      <c r="D211" s="66" t="s">
        <v>50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814988</v>
      </c>
      <c r="B212" s="66" t="s">
        <v>671</v>
      </c>
      <c r="C212" s="63" t="s">
        <v>672</v>
      </c>
      <c r="D212" s="66" t="s">
        <v>50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130894</v>
      </c>
      <c r="B213" s="66" t="s">
        <v>185</v>
      </c>
      <c r="C213" s="63" t="s">
        <v>186</v>
      </c>
      <c r="D213" s="66" t="s">
        <v>50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65">
        <v>785057</v>
      </c>
      <c r="B214" s="66" t="s">
        <v>451</v>
      </c>
      <c r="C214" s="63" t="s">
        <v>452</v>
      </c>
      <c r="D214" s="66" t="s">
        <v>50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55">
        <v>817752</v>
      </c>
      <c r="B215" s="55" t="s">
        <v>887</v>
      </c>
      <c r="C215" s="58" t="s">
        <v>888</v>
      </c>
      <c r="D215" s="55" t="s">
        <v>50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65">
        <v>817773</v>
      </c>
      <c r="B216" s="66" t="s">
        <v>1013</v>
      </c>
      <c r="C216" s="63" t="s">
        <v>1014</v>
      </c>
      <c r="D216" s="66" t="s">
        <v>50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785055</v>
      </c>
      <c r="B217" s="66" t="s">
        <v>449</v>
      </c>
      <c r="C217" s="63" t="s">
        <v>450</v>
      </c>
      <c r="D217" s="66" t="s">
        <v>50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814994</v>
      </c>
      <c r="B218" s="66" t="s">
        <v>673</v>
      </c>
      <c r="C218" s="63" t="s">
        <v>674</v>
      </c>
      <c r="D218" s="66" t="s">
        <v>50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149013</v>
      </c>
      <c r="B219" s="66" t="s">
        <v>321</v>
      </c>
      <c r="C219" s="63" t="s">
        <v>322</v>
      </c>
      <c r="D219" s="66" t="s">
        <v>50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814999</v>
      </c>
      <c r="B220" s="66" t="s">
        <v>1049</v>
      </c>
      <c r="C220" s="63" t="s">
        <v>1050</v>
      </c>
      <c r="D220" s="66" t="s">
        <v>50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815008</v>
      </c>
      <c r="B221" s="66" t="s">
        <v>675</v>
      </c>
      <c r="C221" s="63" t="s">
        <v>676</v>
      </c>
      <c r="D221" s="66" t="s">
        <v>50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65">
        <v>820464</v>
      </c>
      <c r="B222" s="66" t="s">
        <v>1135</v>
      </c>
      <c r="C222" s="63" t="s">
        <v>1136</v>
      </c>
      <c r="D222" s="66" t="s">
        <v>50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149015</v>
      </c>
      <c r="B223" s="66" t="s">
        <v>323</v>
      </c>
      <c r="C223" s="63" t="s">
        <v>324</v>
      </c>
      <c r="D223" s="66" t="s">
        <v>50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142790</v>
      </c>
      <c r="B224" s="66" t="s">
        <v>257</v>
      </c>
      <c r="C224" s="63" t="s">
        <v>258</v>
      </c>
      <c r="D224" s="66" t="s">
        <v>50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789696</v>
      </c>
      <c r="B225" s="66" t="s">
        <v>569</v>
      </c>
      <c r="C225" s="63" t="s">
        <v>570</v>
      </c>
      <c r="D225" s="66" t="s">
        <v>50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55">
        <v>817768</v>
      </c>
      <c r="B226" s="55" t="s">
        <v>903</v>
      </c>
      <c r="C226" s="58" t="s">
        <v>904</v>
      </c>
      <c r="D226" s="55" t="s">
        <v>50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784861</v>
      </c>
      <c r="B227" s="66" t="s">
        <v>373</v>
      </c>
      <c r="C227" s="63" t="s">
        <v>374</v>
      </c>
      <c r="D227" s="66" t="s">
        <v>50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55">
        <v>816854</v>
      </c>
      <c r="B228" s="55" t="s">
        <v>851</v>
      </c>
      <c r="C228" s="58" t="s">
        <v>852</v>
      </c>
      <c r="D228" s="55" t="s">
        <v>50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784862</v>
      </c>
      <c r="B229" s="66" t="s">
        <v>375</v>
      </c>
      <c r="C229" s="63" t="s">
        <v>376</v>
      </c>
      <c r="D229" s="66" t="s">
        <v>50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127874</v>
      </c>
      <c r="B230" s="66" t="s">
        <v>173</v>
      </c>
      <c r="C230" s="63" t="s">
        <v>174</v>
      </c>
      <c r="D230" s="66" t="s">
        <v>50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65">
        <v>815037</v>
      </c>
      <c r="B231" s="66" t="s">
        <v>677</v>
      </c>
      <c r="C231" s="63" t="s">
        <v>678</v>
      </c>
      <c r="D231" s="66" t="s">
        <v>50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130832</v>
      </c>
      <c r="B232" s="66" t="s">
        <v>179</v>
      </c>
      <c r="C232" s="63" t="s">
        <v>180</v>
      </c>
      <c r="D232" s="66" t="s">
        <v>50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127727</v>
      </c>
      <c r="B233" s="66" t="s">
        <v>103</v>
      </c>
      <c r="C233" s="63" t="s">
        <v>104</v>
      </c>
      <c r="D233" s="66" t="s">
        <v>50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55">
        <v>816817</v>
      </c>
      <c r="B234" s="55" t="s">
        <v>827</v>
      </c>
      <c r="C234" s="58" t="s">
        <v>828</v>
      </c>
      <c r="D234" s="55" t="s">
        <v>50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142786</v>
      </c>
      <c r="B235" s="66" t="s">
        <v>251</v>
      </c>
      <c r="C235" s="63" t="s">
        <v>252</v>
      </c>
      <c r="D235" s="66" t="s">
        <v>50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815041</v>
      </c>
      <c r="B236" s="66" t="s">
        <v>679</v>
      </c>
      <c r="C236" s="63" t="s">
        <v>680</v>
      </c>
      <c r="D236" s="66" t="s">
        <v>50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65">
        <v>815043</v>
      </c>
      <c r="B237" s="66" t="s">
        <v>681</v>
      </c>
      <c r="C237" s="63" t="s">
        <v>682</v>
      </c>
      <c r="D237" s="66" t="s">
        <v>50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142787</v>
      </c>
      <c r="B238" s="66" t="s">
        <v>253</v>
      </c>
      <c r="C238" s="63" t="s">
        <v>254</v>
      </c>
      <c r="D238" s="66" t="s">
        <v>50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816851</v>
      </c>
      <c r="B239" s="66" t="s">
        <v>1097</v>
      </c>
      <c r="C239" s="63" t="s">
        <v>1098</v>
      </c>
      <c r="D239" s="66" t="s">
        <v>50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127721</v>
      </c>
      <c r="B240" s="66" t="s">
        <v>99</v>
      </c>
      <c r="C240" s="63" t="s">
        <v>100</v>
      </c>
      <c r="D240" s="66" t="s">
        <v>50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65">
        <v>785399</v>
      </c>
      <c r="B241" s="66" t="s">
        <v>499</v>
      </c>
      <c r="C241" s="63" t="s">
        <v>500</v>
      </c>
      <c r="D241" s="66" t="s">
        <v>50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65">
        <v>815045</v>
      </c>
      <c r="B242" s="66" t="s">
        <v>683</v>
      </c>
      <c r="C242" s="63" t="s">
        <v>684</v>
      </c>
      <c r="D242" s="66" t="s">
        <v>50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55">
        <v>817754</v>
      </c>
      <c r="B243" s="55" t="s">
        <v>889</v>
      </c>
      <c r="C243" s="58" t="s">
        <v>890</v>
      </c>
      <c r="D243" s="55" t="s">
        <v>50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820306</v>
      </c>
      <c r="B244" s="66" t="s">
        <v>1101</v>
      </c>
      <c r="C244" s="63" t="s">
        <v>1102</v>
      </c>
      <c r="D244" s="66" t="s">
        <v>50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65">
        <v>785412</v>
      </c>
      <c r="B245" s="66" t="s">
        <v>509</v>
      </c>
      <c r="C245" s="63" t="s">
        <v>510</v>
      </c>
      <c r="D245" s="66" t="s">
        <v>50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65">
        <v>815048</v>
      </c>
      <c r="B246" s="66" t="s">
        <v>685</v>
      </c>
      <c r="C246" s="63" t="s">
        <v>686</v>
      </c>
      <c r="D246" s="66" t="s">
        <v>50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65">
        <v>142792</v>
      </c>
      <c r="B247" s="66" t="s">
        <v>259</v>
      </c>
      <c r="C247" s="63" t="s">
        <v>260</v>
      </c>
      <c r="D247" s="66" t="s">
        <v>50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127717</v>
      </c>
      <c r="B248" s="66" t="s">
        <v>97</v>
      </c>
      <c r="C248" s="63" t="s">
        <v>98</v>
      </c>
      <c r="D248" s="66" t="s">
        <v>50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827196</v>
      </c>
      <c r="B249" s="55" t="s">
        <v>961</v>
      </c>
      <c r="C249" s="58" t="s">
        <v>962</v>
      </c>
      <c r="D249" s="55" t="s">
        <v>50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113526</v>
      </c>
      <c r="B250" s="66" t="s">
        <v>57</v>
      </c>
      <c r="C250" s="63" t="s">
        <v>58</v>
      </c>
      <c r="D250" s="66" t="s">
        <v>50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817370</v>
      </c>
      <c r="B251" s="66" t="s">
        <v>1003</v>
      </c>
      <c r="C251" s="63" t="s">
        <v>1004</v>
      </c>
      <c r="D251" s="66" t="s">
        <v>50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65">
        <v>785067</v>
      </c>
      <c r="B252" s="66" t="s">
        <v>457</v>
      </c>
      <c r="C252" s="63" t="s">
        <v>458</v>
      </c>
      <c r="D252" s="66" t="s">
        <v>50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815054</v>
      </c>
      <c r="B253" s="66" t="s">
        <v>687</v>
      </c>
      <c r="C253" s="63" t="s">
        <v>688</v>
      </c>
      <c r="D253" s="66" t="s">
        <v>50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55">
        <v>816819</v>
      </c>
      <c r="B254" s="55" t="s">
        <v>829</v>
      </c>
      <c r="C254" s="58" t="s">
        <v>830</v>
      </c>
      <c r="D254" s="55" t="s">
        <v>50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821837</v>
      </c>
      <c r="B255" s="55" t="s">
        <v>931</v>
      </c>
      <c r="C255" s="58" t="s">
        <v>932</v>
      </c>
      <c r="D255" s="55" t="s">
        <v>50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65">
        <v>815066</v>
      </c>
      <c r="B256" s="66" t="s">
        <v>689</v>
      </c>
      <c r="C256" s="63" t="s">
        <v>690</v>
      </c>
      <c r="D256" s="66" t="s">
        <v>50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149002</v>
      </c>
      <c r="B257" s="66" t="s">
        <v>317</v>
      </c>
      <c r="C257" s="63" t="s">
        <v>318</v>
      </c>
      <c r="D257" s="66" t="s">
        <v>50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815070</v>
      </c>
      <c r="B258" s="55" t="s">
        <v>691</v>
      </c>
      <c r="C258" s="58" t="s">
        <v>692</v>
      </c>
      <c r="D258" s="55" t="s">
        <v>50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815076</v>
      </c>
      <c r="B259" s="55" t="s">
        <v>693</v>
      </c>
      <c r="C259" s="58" t="s">
        <v>694</v>
      </c>
      <c r="D259" s="55" t="s">
        <v>50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828077</v>
      </c>
      <c r="B260" s="55" t="s">
        <v>973</v>
      </c>
      <c r="C260" s="58" t="s">
        <v>974</v>
      </c>
      <c r="D260" s="55" t="s">
        <v>50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816821</v>
      </c>
      <c r="B261" s="66" t="s">
        <v>1095</v>
      </c>
      <c r="C261" s="63" t="s">
        <v>1096</v>
      </c>
      <c r="D261" s="66" t="s">
        <v>50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55">
        <v>815080</v>
      </c>
      <c r="B262" s="55" t="s">
        <v>695</v>
      </c>
      <c r="C262" s="58" t="s">
        <v>696</v>
      </c>
      <c r="D262" s="55" t="s">
        <v>50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821403</v>
      </c>
      <c r="B263" s="66" t="s">
        <v>1189</v>
      </c>
      <c r="C263" s="63" t="s">
        <v>1190</v>
      </c>
      <c r="D263" s="66" t="s">
        <v>50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820320</v>
      </c>
      <c r="B264" s="66" t="s">
        <v>1105</v>
      </c>
      <c r="C264" s="63" t="s">
        <v>1106</v>
      </c>
      <c r="D264" s="66" t="s">
        <v>50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817756</v>
      </c>
      <c r="B265" s="55" t="s">
        <v>891</v>
      </c>
      <c r="C265" s="58" t="s">
        <v>892</v>
      </c>
      <c r="D265" s="55" t="s">
        <v>50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785072</v>
      </c>
      <c r="B266" s="66" t="s">
        <v>459</v>
      </c>
      <c r="C266" s="63" t="s">
        <v>460</v>
      </c>
      <c r="D266" s="66" t="s">
        <v>50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820467</v>
      </c>
      <c r="B267" s="66" t="s">
        <v>1137</v>
      </c>
      <c r="C267" s="63" t="s">
        <v>1138</v>
      </c>
      <c r="D267" s="66" t="s">
        <v>50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815086</v>
      </c>
      <c r="B268" s="55" t="s">
        <v>697</v>
      </c>
      <c r="C268" s="58" t="s">
        <v>698</v>
      </c>
      <c r="D268" s="55" t="s">
        <v>50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55">
        <v>827187</v>
      </c>
      <c r="B269" s="55" t="s">
        <v>955</v>
      </c>
      <c r="C269" s="58" t="s">
        <v>956</v>
      </c>
      <c r="D269" s="55" t="s">
        <v>50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788200</v>
      </c>
      <c r="B270" s="66" t="s">
        <v>549</v>
      </c>
      <c r="C270" s="63" t="s">
        <v>550</v>
      </c>
      <c r="D270" s="66" t="s">
        <v>50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821694</v>
      </c>
      <c r="B271" s="55" t="s">
        <v>929</v>
      </c>
      <c r="C271" s="58" t="s">
        <v>930</v>
      </c>
      <c r="D271" s="55" t="s">
        <v>50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55">
        <v>827185</v>
      </c>
      <c r="B272" s="55" t="s">
        <v>953</v>
      </c>
      <c r="C272" s="58" t="s">
        <v>954</v>
      </c>
      <c r="D272" s="55" t="s">
        <v>50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815092</v>
      </c>
      <c r="B273" s="55" t="s">
        <v>699</v>
      </c>
      <c r="C273" s="58" t="s">
        <v>700</v>
      </c>
      <c r="D273" s="55" t="s">
        <v>50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65">
        <v>820481</v>
      </c>
      <c r="B274" s="66" t="s">
        <v>1141</v>
      </c>
      <c r="C274" s="63" t="s">
        <v>1142</v>
      </c>
      <c r="D274" s="66" t="s">
        <v>50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820662</v>
      </c>
      <c r="B275" s="66" t="s">
        <v>1181</v>
      </c>
      <c r="C275" s="63" t="s">
        <v>1182</v>
      </c>
      <c r="D275" s="66" t="s">
        <v>50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816756</v>
      </c>
      <c r="B276" s="66" t="s">
        <v>1073</v>
      </c>
      <c r="C276" s="63" t="s">
        <v>1074</v>
      </c>
      <c r="D276" s="66" t="s">
        <v>50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820477</v>
      </c>
      <c r="B277" s="66" t="s">
        <v>1139</v>
      </c>
      <c r="C277" s="63" t="s">
        <v>1140</v>
      </c>
      <c r="D277" s="66" t="s">
        <v>50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55">
        <v>815096</v>
      </c>
      <c r="B278" s="55" t="s">
        <v>701</v>
      </c>
      <c r="C278" s="58" t="s">
        <v>702</v>
      </c>
      <c r="D278" s="55" t="s">
        <v>50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65">
        <v>127736</v>
      </c>
      <c r="B279" s="66" t="s">
        <v>105</v>
      </c>
      <c r="C279" s="63" t="s">
        <v>106</v>
      </c>
      <c r="D279" s="66" t="s">
        <v>50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820485</v>
      </c>
      <c r="B280" s="66" t="s">
        <v>1143</v>
      </c>
      <c r="C280" s="63" t="s">
        <v>1144</v>
      </c>
      <c r="D280" s="66" t="s">
        <v>50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815099</v>
      </c>
      <c r="B281" s="55" t="s">
        <v>703</v>
      </c>
      <c r="C281" s="58" t="s">
        <v>704</v>
      </c>
      <c r="D281" s="55" t="s">
        <v>50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142992</v>
      </c>
      <c r="B282" s="66" t="s">
        <v>261</v>
      </c>
      <c r="C282" s="63" t="s">
        <v>262</v>
      </c>
      <c r="D282" s="66" t="s">
        <v>50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784866</v>
      </c>
      <c r="B283" s="66" t="s">
        <v>377</v>
      </c>
      <c r="C283" s="63" t="s">
        <v>378</v>
      </c>
      <c r="D283" s="66" t="s">
        <v>50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55">
        <v>816876</v>
      </c>
      <c r="B284" s="55" t="s">
        <v>861</v>
      </c>
      <c r="C284" s="58" t="s">
        <v>862</v>
      </c>
      <c r="D284" s="55" t="s">
        <v>50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65">
        <v>815107</v>
      </c>
      <c r="B285" s="66" t="s">
        <v>1051</v>
      </c>
      <c r="C285" s="63" t="s">
        <v>1052</v>
      </c>
      <c r="D285" s="66" t="s">
        <v>50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817800</v>
      </c>
      <c r="B286" s="66" t="s">
        <v>1035</v>
      </c>
      <c r="C286" s="63" t="s">
        <v>1036</v>
      </c>
      <c r="D286" s="66" t="s">
        <v>50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815108</v>
      </c>
      <c r="B287" s="55" t="s">
        <v>705</v>
      </c>
      <c r="C287" s="58" t="s">
        <v>706</v>
      </c>
      <c r="D287" s="55" t="s">
        <v>50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815113</v>
      </c>
      <c r="B288" s="55" t="s">
        <v>707</v>
      </c>
      <c r="C288" s="58" t="s">
        <v>708</v>
      </c>
      <c r="D288" s="55" t="s">
        <v>50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65">
        <v>127745</v>
      </c>
      <c r="B289" s="66" t="s">
        <v>111</v>
      </c>
      <c r="C289" s="63" t="s">
        <v>112</v>
      </c>
      <c r="D289" s="66" t="s">
        <v>50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143005</v>
      </c>
      <c r="B290" s="66" t="s">
        <v>263</v>
      </c>
      <c r="C290" s="63" t="s">
        <v>264</v>
      </c>
      <c r="D290" s="66" t="s">
        <v>50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785442</v>
      </c>
      <c r="B291" s="66" t="s">
        <v>511</v>
      </c>
      <c r="C291" s="63" t="s">
        <v>512</v>
      </c>
      <c r="D291" s="66" t="s">
        <v>50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792257</v>
      </c>
      <c r="B292" s="66" t="s">
        <v>579</v>
      </c>
      <c r="C292" s="63" t="s">
        <v>580</v>
      </c>
      <c r="D292" s="66" t="s">
        <v>50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55">
        <v>816823</v>
      </c>
      <c r="B293" s="55" t="s">
        <v>831</v>
      </c>
      <c r="C293" s="58" t="s">
        <v>832</v>
      </c>
      <c r="D293" s="55" t="s">
        <v>50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820491</v>
      </c>
      <c r="B294" s="66" t="s">
        <v>1145</v>
      </c>
      <c r="C294" s="63" t="s">
        <v>1146</v>
      </c>
      <c r="D294" s="66" t="s">
        <v>50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55">
        <v>823246</v>
      </c>
      <c r="B295" s="55" t="s">
        <v>937</v>
      </c>
      <c r="C295" s="58" t="s">
        <v>938</v>
      </c>
      <c r="D295" s="55" t="s">
        <v>50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65">
        <v>784868</v>
      </c>
      <c r="B296" s="66" t="s">
        <v>379</v>
      </c>
      <c r="C296" s="63" t="s">
        <v>380</v>
      </c>
      <c r="D296" s="66" t="s">
        <v>50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65">
        <v>820495</v>
      </c>
      <c r="B297" s="66" t="s">
        <v>1147</v>
      </c>
      <c r="C297" s="63" t="s">
        <v>1148</v>
      </c>
      <c r="D297" s="66" t="s">
        <v>50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149090</v>
      </c>
      <c r="B298" s="66" t="s">
        <v>325</v>
      </c>
      <c r="C298" s="63" t="s">
        <v>326</v>
      </c>
      <c r="D298" s="66" t="s">
        <v>50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55">
        <v>827198</v>
      </c>
      <c r="B299" s="55" t="s">
        <v>963</v>
      </c>
      <c r="C299" s="58" t="s">
        <v>964</v>
      </c>
      <c r="D299" s="55" t="s">
        <v>50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785081</v>
      </c>
      <c r="B300" s="66" t="s">
        <v>463</v>
      </c>
      <c r="C300" s="63" t="s">
        <v>464</v>
      </c>
      <c r="D300" s="66" t="s">
        <v>50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816826</v>
      </c>
      <c r="B301" s="55" t="s">
        <v>833</v>
      </c>
      <c r="C301" s="58" t="s">
        <v>834</v>
      </c>
      <c r="D301" s="55" t="s">
        <v>50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816829</v>
      </c>
      <c r="B302" s="55" t="s">
        <v>835</v>
      </c>
      <c r="C302" s="58" t="s">
        <v>836</v>
      </c>
      <c r="D302" s="55" t="s">
        <v>50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817758</v>
      </c>
      <c r="B303" s="55" t="s">
        <v>893</v>
      </c>
      <c r="C303" s="58" t="s">
        <v>894</v>
      </c>
      <c r="D303" s="55" t="s">
        <v>50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785079</v>
      </c>
      <c r="B304" s="66" t="s">
        <v>461</v>
      </c>
      <c r="C304" s="63" t="s">
        <v>462</v>
      </c>
      <c r="D304" s="66" t="s">
        <v>50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784869</v>
      </c>
      <c r="B305" s="66" t="s">
        <v>381</v>
      </c>
      <c r="C305" s="63" t="s">
        <v>382</v>
      </c>
      <c r="D305" s="66" t="s">
        <v>50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127744</v>
      </c>
      <c r="B306" s="66" t="s">
        <v>109</v>
      </c>
      <c r="C306" s="63" t="s">
        <v>110</v>
      </c>
      <c r="D306" s="66" t="s">
        <v>50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130859</v>
      </c>
      <c r="B307" s="66" t="s">
        <v>181</v>
      </c>
      <c r="C307" s="63" t="s">
        <v>182</v>
      </c>
      <c r="D307" s="66" t="s">
        <v>50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816759</v>
      </c>
      <c r="B308" s="66" t="s">
        <v>1075</v>
      </c>
      <c r="C308" s="63" t="s">
        <v>1076</v>
      </c>
      <c r="D308" s="66" t="s">
        <v>50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816761</v>
      </c>
      <c r="B309" s="66" t="s">
        <v>1077</v>
      </c>
      <c r="C309" s="63" t="s">
        <v>1078</v>
      </c>
      <c r="D309" s="66" t="s">
        <v>50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55">
        <v>815118</v>
      </c>
      <c r="B310" s="55" t="s">
        <v>709</v>
      </c>
      <c r="C310" s="58" t="s">
        <v>710</v>
      </c>
      <c r="D310" s="55" t="s">
        <v>50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815123</v>
      </c>
      <c r="B311" s="55" t="s">
        <v>711</v>
      </c>
      <c r="C311" s="58" t="s">
        <v>712</v>
      </c>
      <c r="D311" s="55" t="s">
        <v>50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65">
        <v>808456</v>
      </c>
      <c r="B312" s="66" t="s">
        <v>607</v>
      </c>
      <c r="C312" s="63" t="s">
        <v>608</v>
      </c>
      <c r="D312" s="66" t="s">
        <v>50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65">
        <v>142573</v>
      </c>
      <c r="B313" s="66" t="s">
        <v>195</v>
      </c>
      <c r="C313" s="63" t="s">
        <v>196</v>
      </c>
      <c r="D313" s="66" t="s">
        <v>50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127740</v>
      </c>
      <c r="B314" s="66" t="s">
        <v>107</v>
      </c>
      <c r="C314" s="63" t="s">
        <v>108</v>
      </c>
      <c r="D314" s="66" t="s">
        <v>50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55">
        <v>815127</v>
      </c>
      <c r="B315" s="55" t="s">
        <v>713</v>
      </c>
      <c r="C315" s="58" t="s">
        <v>714</v>
      </c>
      <c r="D315" s="55" t="s">
        <v>50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55">
        <v>815131</v>
      </c>
      <c r="B316" s="55" t="s">
        <v>715</v>
      </c>
      <c r="C316" s="58" t="s">
        <v>716</v>
      </c>
      <c r="D316" s="55" t="s">
        <v>50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55">
        <v>820680</v>
      </c>
      <c r="B317" s="55" t="s">
        <v>925</v>
      </c>
      <c r="C317" s="58" t="s">
        <v>926</v>
      </c>
      <c r="D317" s="55" t="s">
        <v>50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785443</v>
      </c>
      <c r="B318" s="66" t="s">
        <v>513</v>
      </c>
      <c r="C318" s="63" t="s">
        <v>514</v>
      </c>
      <c r="D318" s="66" t="s">
        <v>50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143008</v>
      </c>
      <c r="B319" s="66" t="s">
        <v>265</v>
      </c>
      <c r="C319" s="63" t="s">
        <v>266</v>
      </c>
      <c r="D319" s="66" t="s">
        <v>50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127746</v>
      </c>
      <c r="B320" s="66" t="s">
        <v>113</v>
      </c>
      <c r="C320" s="63" t="s">
        <v>114</v>
      </c>
      <c r="D320" s="66" t="s">
        <v>50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127747</v>
      </c>
      <c r="B321" s="66" t="s">
        <v>115</v>
      </c>
      <c r="C321" s="63" t="s">
        <v>116</v>
      </c>
      <c r="D321" s="66" t="s">
        <v>50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785082</v>
      </c>
      <c r="B322" s="57" t="s">
        <v>465</v>
      </c>
      <c r="C322" s="53" t="s">
        <v>466</v>
      </c>
      <c r="D322" s="57" t="s">
        <v>50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784871</v>
      </c>
      <c r="B323" s="57" t="s">
        <v>383</v>
      </c>
      <c r="C323" s="53" t="s">
        <v>384</v>
      </c>
      <c r="D323" s="57" t="s">
        <v>50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785083</v>
      </c>
      <c r="B324" s="57" t="s">
        <v>467</v>
      </c>
      <c r="C324" s="53" t="s">
        <v>468</v>
      </c>
      <c r="D324" s="57" t="s">
        <v>50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67">
        <v>815133</v>
      </c>
      <c r="B325" s="67" t="s">
        <v>717</v>
      </c>
      <c r="C325" s="64" t="s">
        <v>718</v>
      </c>
      <c r="D325" s="67" t="s">
        <v>50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67">
        <v>817783</v>
      </c>
      <c r="B326" s="67" t="s">
        <v>907</v>
      </c>
      <c r="C326" s="64" t="s">
        <v>908</v>
      </c>
      <c r="D326" s="67" t="s">
        <v>50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7">
        <v>821386</v>
      </c>
      <c r="B327" s="67" t="s">
        <v>927</v>
      </c>
      <c r="C327" s="64" t="s">
        <v>928</v>
      </c>
      <c r="D327" s="67" t="s">
        <v>50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>
        <v>820686</v>
      </c>
      <c r="B328" s="57" t="s">
        <v>1183</v>
      </c>
      <c r="C328" s="53" t="s">
        <v>1184</v>
      </c>
      <c r="D328" s="57" t="s">
        <v>50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>
        <v>127754</v>
      </c>
      <c r="B329" s="57" t="s">
        <v>117</v>
      </c>
      <c r="C329" s="53" t="s">
        <v>118</v>
      </c>
      <c r="D329" s="57" t="s">
        <v>50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820497</v>
      </c>
      <c r="B330" s="57" t="s">
        <v>1149</v>
      </c>
      <c r="C330" s="53" t="s">
        <v>1150</v>
      </c>
      <c r="D330" s="57" t="s">
        <v>50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785084</v>
      </c>
      <c r="B331" s="57" t="s">
        <v>469</v>
      </c>
      <c r="C331" s="53" t="s">
        <v>470</v>
      </c>
      <c r="D331" s="57" t="s">
        <v>50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>
        <v>127755</v>
      </c>
      <c r="B332" s="57" t="s">
        <v>119</v>
      </c>
      <c r="C332" s="53" t="s">
        <v>120</v>
      </c>
      <c r="D332" s="57" t="s">
        <v>50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>
        <v>781180</v>
      </c>
      <c r="B333" s="57" t="s">
        <v>345</v>
      </c>
      <c r="C333" s="53" t="s">
        <v>346</v>
      </c>
      <c r="D333" s="57" t="s">
        <v>50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>
        <v>793656</v>
      </c>
      <c r="B334" s="57" t="s">
        <v>585</v>
      </c>
      <c r="C334" s="53" t="s">
        <v>586</v>
      </c>
      <c r="D334" s="57" t="s">
        <v>50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820511</v>
      </c>
      <c r="B335" s="57" t="s">
        <v>1157</v>
      </c>
      <c r="C335" s="53" t="s">
        <v>1158</v>
      </c>
      <c r="D335" s="57" t="s">
        <v>50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113614</v>
      </c>
      <c r="B336" s="57" t="s">
        <v>59</v>
      </c>
      <c r="C336" s="53" t="s">
        <v>60</v>
      </c>
      <c r="D336" s="57" t="s">
        <v>50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816764</v>
      </c>
      <c r="B337" s="57" t="s">
        <v>1079</v>
      </c>
      <c r="C337" s="53" t="s">
        <v>1080</v>
      </c>
      <c r="D337" s="57" t="s">
        <v>50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820502</v>
      </c>
      <c r="B338" s="57" t="s">
        <v>1151</v>
      </c>
      <c r="C338" s="53" t="s">
        <v>1152</v>
      </c>
      <c r="D338" s="57" t="s">
        <v>50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>
        <v>820506</v>
      </c>
      <c r="B339" s="57" t="s">
        <v>1153</v>
      </c>
      <c r="C339" s="53" t="s">
        <v>1154</v>
      </c>
      <c r="D339" s="57" t="s">
        <v>50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785451</v>
      </c>
      <c r="B340" s="57" t="s">
        <v>515</v>
      </c>
      <c r="C340" s="53" t="s">
        <v>516</v>
      </c>
      <c r="D340" s="57" t="s">
        <v>50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>
        <v>127757</v>
      </c>
      <c r="B341" s="57" t="s">
        <v>121</v>
      </c>
      <c r="C341" s="53" t="s">
        <v>122</v>
      </c>
      <c r="D341" s="57" t="s">
        <v>50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815135</v>
      </c>
      <c r="B342" s="67" t="s">
        <v>719</v>
      </c>
      <c r="C342" s="64" t="s">
        <v>720</v>
      </c>
      <c r="D342" s="67" t="s">
        <v>50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7">
        <v>815139</v>
      </c>
      <c r="B343" s="67" t="s">
        <v>721</v>
      </c>
      <c r="C343" s="64" t="s">
        <v>722</v>
      </c>
      <c r="D343" s="67" t="s">
        <v>50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785087</v>
      </c>
      <c r="B344" s="57" t="s">
        <v>471</v>
      </c>
      <c r="C344" s="53" t="s">
        <v>472</v>
      </c>
      <c r="D344" s="57" t="s">
        <v>50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127766</v>
      </c>
      <c r="B345" s="57" t="s">
        <v>123</v>
      </c>
      <c r="C345" s="53" t="s">
        <v>124</v>
      </c>
      <c r="D345" s="57" t="s">
        <v>50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67">
        <v>815143</v>
      </c>
      <c r="B346" s="67" t="s">
        <v>723</v>
      </c>
      <c r="C346" s="64" t="s">
        <v>724</v>
      </c>
      <c r="D346" s="67" t="s">
        <v>50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827200</v>
      </c>
      <c r="B347" s="67" t="s">
        <v>965</v>
      </c>
      <c r="C347" s="64" t="s">
        <v>966</v>
      </c>
      <c r="D347" s="67" t="s">
        <v>50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815145</v>
      </c>
      <c r="B348" s="67" t="s">
        <v>725</v>
      </c>
      <c r="C348" s="64" t="s">
        <v>726</v>
      </c>
      <c r="D348" s="67" t="s">
        <v>50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113617</v>
      </c>
      <c r="B349" s="57" t="s">
        <v>61</v>
      </c>
      <c r="C349" s="53" t="s">
        <v>62</v>
      </c>
      <c r="D349" s="57" t="s">
        <v>50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784873</v>
      </c>
      <c r="B350" s="57" t="s">
        <v>385</v>
      </c>
      <c r="C350" s="53" t="s">
        <v>386</v>
      </c>
      <c r="D350" s="57" t="s">
        <v>50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>
        <v>817785</v>
      </c>
      <c r="B351" s="57" t="s">
        <v>1027</v>
      </c>
      <c r="C351" s="53" t="s">
        <v>1028</v>
      </c>
      <c r="D351" s="57" t="s">
        <v>50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>
        <v>820509</v>
      </c>
      <c r="B352" s="57" t="s">
        <v>1155</v>
      </c>
      <c r="C352" s="53" t="s">
        <v>1156</v>
      </c>
      <c r="D352" s="57" t="s">
        <v>50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>
        <v>785453</v>
      </c>
      <c r="B353" s="57" t="s">
        <v>517</v>
      </c>
      <c r="C353" s="53" t="s">
        <v>518</v>
      </c>
      <c r="D353" s="57" t="s">
        <v>50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67">
        <v>817771</v>
      </c>
      <c r="B354" s="67" t="s">
        <v>905</v>
      </c>
      <c r="C354" s="64" t="s">
        <v>906</v>
      </c>
      <c r="D354" s="67" t="s">
        <v>50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815216</v>
      </c>
      <c r="B355" s="57" t="s">
        <v>981</v>
      </c>
      <c r="C355" s="53" t="s">
        <v>982</v>
      </c>
      <c r="D355" s="57" t="s">
        <v>50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806256</v>
      </c>
      <c r="B356" s="57" t="s">
        <v>599</v>
      </c>
      <c r="C356" s="53" t="s">
        <v>600</v>
      </c>
      <c r="D356" s="57" t="s">
        <v>50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67">
        <v>816879</v>
      </c>
      <c r="B357" s="67" t="s">
        <v>863</v>
      </c>
      <c r="C357" s="64" t="s">
        <v>864</v>
      </c>
      <c r="D357" s="67" t="s">
        <v>50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815147</v>
      </c>
      <c r="B358" s="67" t="s">
        <v>727</v>
      </c>
      <c r="C358" s="64" t="s">
        <v>728</v>
      </c>
      <c r="D358" s="67" t="s">
        <v>50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>
        <v>113618</v>
      </c>
      <c r="B359" s="57" t="s">
        <v>63</v>
      </c>
      <c r="C359" s="53" t="s">
        <v>64</v>
      </c>
      <c r="D359" s="57" t="s">
        <v>50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817788</v>
      </c>
      <c r="B360" s="57" t="s">
        <v>1029</v>
      </c>
      <c r="C360" s="53" t="s">
        <v>1030</v>
      </c>
      <c r="D360" s="57" t="s">
        <v>50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>
        <v>822715</v>
      </c>
      <c r="B361" s="57" t="s">
        <v>1191</v>
      </c>
      <c r="C361" s="53" t="s">
        <v>1192</v>
      </c>
      <c r="D361" s="57" t="s">
        <v>50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>
        <v>149101</v>
      </c>
      <c r="B362" s="57" t="s">
        <v>327</v>
      </c>
      <c r="C362" s="53" t="s">
        <v>328</v>
      </c>
      <c r="D362" s="57" t="s">
        <v>50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143019</v>
      </c>
      <c r="B363" s="57" t="s">
        <v>267</v>
      </c>
      <c r="C363" s="53" t="s">
        <v>268</v>
      </c>
      <c r="D363" s="57" t="s">
        <v>50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820675</v>
      </c>
      <c r="B364" s="67" t="s">
        <v>921</v>
      </c>
      <c r="C364" s="64" t="s">
        <v>922</v>
      </c>
      <c r="D364" s="67" t="s">
        <v>50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7">
        <v>815150</v>
      </c>
      <c r="B365" s="67" t="s">
        <v>729</v>
      </c>
      <c r="C365" s="64" t="s">
        <v>730</v>
      </c>
      <c r="D365" s="67" t="s">
        <v>50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785454</v>
      </c>
      <c r="B366" s="57" t="s">
        <v>519</v>
      </c>
      <c r="C366" s="53" t="s">
        <v>520</v>
      </c>
      <c r="D366" s="57" t="s">
        <v>50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815589</v>
      </c>
      <c r="B367" s="57" t="s">
        <v>987</v>
      </c>
      <c r="C367" s="53" t="s">
        <v>988</v>
      </c>
      <c r="D367" s="57" t="s">
        <v>50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>
        <v>143031</v>
      </c>
      <c r="B368" s="57" t="s">
        <v>271</v>
      </c>
      <c r="C368" s="53" t="s">
        <v>272</v>
      </c>
      <c r="D368" s="57" t="s">
        <v>50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817804</v>
      </c>
      <c r="B369" s="57" t="s">
        <v>1039</v>
      </c>
      <c r="C369" s="53" t="s">
        <v>1040</v>
      </c>
      <c r="D369" s="57" t="s">
        <v>50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67">
        <v>815154</v>
      </c>
      <c r="B370" s="67" t="s">
        <v>731</v>
      </c>
      <c r="C370" s="64" t="s">
        <v>732</v>
      </c>
      <c r="D370" s="67" t="s">
        <v>50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7">
        <v>819568</v>
      </c>
      <c r="B371" s="67" t="s">
        <v>911</v>
      </c>
      <c r="C371" s="64" t="s">
        <v>912</v>
      </c>
      <c r="D371" s="67" t="s">
        <v>50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815159</v>
      </c>
      <c r="B372" s="67" t="s">
        <v>733</v>
      </c>
      <c r="C372" s="64" t="s">
        <v>734</v>
      </c>
      <c r="D372" s="67" t="s">
        <v>50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785100</v>
      </c>
      <c r="B373" s="57" t="s">
        <v>475</v>
      </c>
      <c r="C373" s="53" t="s">
        <v>476</v>
      </c>
      <c r="D373" s="57" t="s">
        <v>50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127785</v>
      </c>
      <c r="B374" s="57" t="s">
        <v>131</v>
      </c>
      <c r="C374" s="53" t="s">
        <v>132</v>
      </c>
      <c r="D374" s="57" t="s">
        <v>50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56">
        <v>785460</v>
      </c>
      <c r="B375" s="57" t="s">
        <v>523</v>
      </c>
      <c r="C375" s="53" t="s">
        <v>524</v>
      </c>
      <c r="D375" s="57" t="s">
        <v>50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817792</v>
      </c>
      <c r="B376" s="57" t="s">
        <v>1031</v>
      </c>
      <c r="C376" s="53" t="s">
        <v>1032</v>
      </c>
      <c r="D376" s="57" t="s">
        <v>50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143022</v>
      </c>
      <c r="B377" s="57" t="s">
        <v>269</v>
      </c>
      <c r="C377" s="53" t="s">
        <v>270</v>
      </c>
      <c r="D377" s="57" t="s">
        <v>50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7">
        <v>815162</v>
      </c>
      <c r="B378" s="67" t="s">
        <v>735</v>
      </c>
      <c r="C378" s="64" t="s">
        <v>736</v>
      </c>
      <c r="D378" s="67" t="s">
        <v>50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67">
        <v>815168</v>
      </c>
      <c r="B379" s="67" t="s">
        <v>737</v>
      </c>
      <c r="C379" s="64" t="s">
        <v>738</v>
      </c>
      <c r="D379" s="67" t="s">
        <v>50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127783</v>
      </c>
      <c r="B380" s="57" t="s">
        <v>129</v>
      </c>
      <c r="C380" s="53" t="s">
        <v>130</v>
      </c>
      <c r="D380" s="57" t="s">
        <v>50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67">
        <v>815170</v>
      </c>
      <c r="B381" s="67" t="s">
        <v>739</v>
      </c>
      <c r="C381" s="64" t="s">
        <v>740</v>
      </c>
      <c r="D381" s="67" t="s">
        <v>50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67">
        <v>815172</v>
      </c>
      <c r="B382" s="67" t="s">
        <v>741</v>
      </c>
      <c r="C382" s="64" t="s">
        <v>742</v>
      </c>
      <c r="D382" s="67" t="s">
        <v>50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149111</v>
      </c>
      <c r="B383" s="57" t="s">
        <v>329</v>
      </c>
      <c r="C383" s="53" t="s">
        <v>330</v>
      </c>
      <c r="D383" s="57" t="s">
        <v>50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7">
        <v>816857</v>
      </c>
      <c r="B384" s="67" t="s">
        <v>853</v>
      </c>
      <c r="C384" s="64" t="s">
        <v>854</v>
      </c>
      <c r="D384" s="67" t="s">
        <v>50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785458</v>
      </c>
      <c r="B385" s="57" t="s">
        <v>521</v>
      </c>
      <c r="C385" s="53" t="s">
        <v>522</v>
      </c>
      <c r="D385" s="57" t="s">
        <v>50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127774</v>
      </c>
      <c r="B386" s="57" t="s">
        <v>127</v>
      </c>
      <c r="C386" s="53" t="s">
        <v>128</v>
      </c>
      <c r="D386" s="57" t="s">
        <v>50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817802</v>
      </c>
      <c r="B387" s="57" t="s">
        <v>1037</v>
      </c>
      <c r="C387" s="53" t="s">
        <v>1038</v>
      </c>
      <c r="D387" s="57" t="s">
        <v>50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789908</v>
      </c>
      <c r="B388" s="57" t="s">
        <v>573</v>
      </c>
      <c r="C388" s="53" t="s">
        <v>574</v>
      </c>
      <c r="D388" s="57" t="s">
        <v>50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67">
        <v>816832</v>
      </c>
      <c r="B389" s="67" t="s">
        <v>837</v>
      </c>
      <c r="C389" s="64" t="s">
        <v>838</v>
      </c>
      <c r="D389" s="67" t="s">
        <v>50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801860</v>
      </c>
      <c r="B390" s="57" t="s">
        <v>591</v>
      </c>
      <c r="C390" s="53" t="s">
        <v>592</v>
      </c>
      <c r="D390" s="57" t="s">
        <v>50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56">
        <v>821399</v>
      </c>
      <c r="B391" s="57" t="s">
        <v>1187</v>
      </c>
      <c r="C391" s="53" t="s">
        <v>1188</v>
      </c>
      <c r="D391" s="57" t="s">
        <v>50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788205</v>
      </c>
      <c r="B392" s="57" t="s">
        <v>551</v>
      </c>
      <c r="C392" s="53" t="s">
        <v>552</v>
      </c>
      <c r="D392" s="57" t="s">
        <v>50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826931</v>
      </c>
      <c r="B393" s="67" t="s">
        <v>947</v>
      </c>
      <c r="C393" s="64" t="s">
        <v>948</v>
      </c>
      <c r="D393" s="67" t="s">
        <v>50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817780</v>
      </c>
      <c r="B394" s="57" t="s">
        <v>1023</v>
      </c>
      <c r="C394" s="53" t="s">
        <v>1024</v>
      </c>
      <c r="D394" s="57" t="s">
        <v>50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127771</v>
      </c>
      <c r="B395" s="57" t="s">
        <v>125</v>
      </c>
      <c r="C395" s="53" t="s">
        <v>126</v>
      </c>
      <c r="D395" s="57" t="s">
        <v>50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806174</v>
      </c>
      <c r="B396" s="57" t="s">
        <v>595</v>
      </c>
      <c r="C396" s="53" t="s">
        <v>596</v>
      </c>
      <c r="D396" s="57" t="s">
        <v>50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817760</v>
      </c>
      <c r="B397" s="67" t="s">
        <v>895</v>
      </c>
      <c r="C397" s="64" t="s">
        <v>896</v>
      </c>
      <c r="D397" s="67" t="s">
        <v>50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130868</v>
      </c>
      <c r="B398" s="57" t="s">
        <v>183</v>
      </c>
      <c r="C398" s="53" t="s">
        <v>184</v>
      </c>
      <c r="D398" s="57" t="s">
        <v>50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56">
        <v>779038</v>
      </c>
      <c r="B399" s="57" t="s">
        <v>339</v>
      </c>
      <c r="C399" s="53" t="s">
        <v>340</v>
      </c>
      <c r="D399" s="57" t="s">
        <v>50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>
        <v>137189</v>
      </c>
      <c r="B400" s="57" t="s">
        <v>189</v>
      </c>
      <c r="C400" s="53" t="s">
        <v>190</v>
      </c>
      <c r="D400" s="57" t="s">
        <v>50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806180</v>
      </c>
      <c r="B401" s="57" t="s">
        <v>597</v>
      </c>
      <c r="C401" s="53" t="s">
        <v>598</v>
      </c>
      <c r="D401" s="57" t="s">
        <v>50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785097</v>
      </c>
      <c r="B402" s="57" t="s">
        <v>473</v>
      </c>
      <c r="C402" s="53" t="s">
        <v>474</v>
      </c>
      <c r="D402" s="57" t="s">
        <v>50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784875</v>
      </c>
      <c r="B403" s="57" t="s">
        <v>387</v>
      </c>
      <c r="C403" s="53" t="s">
        <v>388</v>
      </c>
      <c r="D403" s="57" t="s">
        <v>50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784876</v>
      </c>
      <c r="B404" s="57" t="s">
        <v>389</v>
      </c>
      <c r="C404" s="53" t="s">
        <v>390</v>
      </c>
      <c r="D404" s="57" t="s">
        <v>50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>
        <v>143040</v>
      </c>
      <c r="B405" s="57" t="s">
        <v>273</v>
      </c>
      <c r="C405" s="53" t="s">
        <v>274</v>
      </c>
      <c r="D405" s="57" t="s">
        <v>50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814688</v>
      </c>
      <c r="B406" s="57" t="s">
        <v>975</v>
      </c>
      <c r="C406" s="53" t="s">
        <v>976</v>
      </c>
      <c r="D406" s="57" t="s">
        <v>50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>
        <v>816859</v>
      </c>
      <c r="B407" s="57" t="s">
        <v>1099</v>
      </c>
      <c r="C407" s="53" t="s">
        <v>1100</v>
      </c>
      <c r="D407" s="57" t="s">
        <v>50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143041</v>
      </c>
      <c r="B408" s="57" t="s">
        <v>275</v>
      </c>
      <c r="C408" s="53" t="s">
        <v>276</v>
      </c>
      <c r="D408" s="57" t="s">
        <v>50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149113</v>
      </c>
      <c r="B409" s="57" t="s">
        <v>331</v>
      </c>
      <c r="C409" s="53" t="s">
        <v>332</v>
      </c>
      <c r="D409" s="57" t="s">
        <v>50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>
        <v>127795</v>
      </c>
      <c r="B410" s="57" t="s">
        <v>139</v>
      </c>
      <c r="C410" s="53" t="s">
        <v>140</v>
      </c>
      <c r="D410" s="57" t="s">
        <v>50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>
        <v>143043</v>
      </c>
      <c r="B411" s="57" t="s">
        <v>277</v>
      </c>
      <c r="C411" s="53" t="s">
        <v>278</v>
      </c>
      <c r="D411" s="57" t="s">
        <v>50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127791</v>
      </c>
      <c r="B412" s="57" t="s">
        <v>135</v>
      </c>
      <c r="C412" s="53" t="s">
        <v>136</v>
      </c>
      <c r="D412" s="57" t="s">
        <v>50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127787</v>
      </c>
      <c r="B413" s="57" t="s">
        <v>133</v>
      </c>
      <c r="C413" s="53" t="s">
        <v>134</v>
      </c>
      <c r="D413" s="57" t="s">
        <v>50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>
        <v>816480</v>
      </c>
      <c r="B414" s="57" t="s">
        <v>999</v>
      </c>
      <c r="C414" s="53" t="s">
        <v>1000</v>
      </c>
      <c r="D414" s="57" t="s">
        <v>50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67">
        <v>815173</v>
      </c>
      <c r="B415" s="67" t="s">
        <v>743</v>
      </c>
      <c r="C415" s="64" t="s">
        <v>744</v>
      </c>
      <c r="D415" s="67" t="s">
        <v>50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143044</v>
      </c>
      <c r="B416" s="57" t="s">
        <v>279</v>
      </c>
      <c r="C416" s="53" t="s">
        <v>280</v>
      </c>
      <c r="D416" s="57" t="s">
        <v>50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67">
        <v>815174</v>
      </c>
      <c r="B417" s="67" t="s">
        <v>745</v>
      </c>
      <c r="C417" s="64" t="s">
        <v>746</v>
      </c>
      <c r="D417" s="67" t="s">
        <v>50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>
        <v>127793</v>
      </c>
      <c r="B418" s="57" t="s">
        <v>137</v>
      </c>
      <c r="C418" s="53" t="s">
        <v>138</v>
      </c>
      <c r="D418" s="57" t="s">
        <v>50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815841</v>
      </c>
      <c r="B419" s="57" t="s">
        <v>991</v>
      </c>
      <c r="C419" s="53" t="s">
        <v>992</v>
      </c>
      <c r="D419" s="57" t="s">
        <v>50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>
        <v>127864</v>
      </c>
      <c r="B420" s="57" t="s">
        <v>171</v>
      </c>
      <c r="C420" s="53" t="s">
        <v>172</v>
      </c>
      <c r="D420" s="57" t="s">
        <v>50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784877</v>
      </c>
      <c r="B421" s="57" t="s">
        <v>391</v>
      </c>
      <c r="C421" s="53" t="s">
        <v>392</v>
      </c>
      <c r="D421" s="57" t="s">
        <v>50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815175</v>
      </c>
      <c r="B422" s="67" t="s">
        <v>747</v>
      </c>
      <c r="C422" s="64" t="s">
        <v>748</v>
      </c>
      <c r="D422" s="67" t="s">
        <v>50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820519</v>
      </c>
      <c r="B423" s="57" t="s">
        <v>1161</v>
      </c>
      <c r="C423" s="53" t="s">
        <v>1162</v>
      </c>
      <c r="D423" s="57" t="s">
        <v>50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67">
        <v>815176</v>
      </c>
      <c r="B424" s="67" t="s">
        <v>749</v>
      </c>
      <c r="C424" s="64" t="s">
        <v>750</v>
      </c>
      <c r="D424" s="67" t="s">
        <v>50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7">
        <v>819565</v>
      </c>
      <c r="B425" s="67" t="s">
        <v>909</v>
      </c>
      <c r="C425" s="64" t="s">
        <v>910</v>
      </c>
      <c r="D425" s="67" t="s">
        <v>50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127796</v>
      </c>
      <c r="B426" s="57" t="s">
        <v>141</v>
      </c>
      <c r="C426" s="53" t="s">
        <v>142</v>
      </c>
      <c r="D426" s="57" t="s">
        <v>50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142569</v>
      </c>
      <c r="B427" s="57" t="s">
        <v>193</v>
      </c>
      <c r="C427" s="53" t="s">
        <v>194</v>
      </c>
      <c r="D427" s="57" t="s">
        <v>50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>
        <v>817774</v>
      </c>
      <c r="B428" s="57" t="s">
        <v>1015</v>
      </c>
      <c r="C428" s="53" t="s">
        <v>1016</v>
      </c>
      <c r="D428" s="57" t="s">
        <v>50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143067</v>
      </c>
      <c r="B429" s="57" t="s">
        <v>283</v>
      </c>
      <c r="C429" s="53" t="s">
        <v>284</v>
      </c>
      <c r="D429" s="57" t="s">
        <v>50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>
        <v>785108</v>
      </c>
      <c r="B430" s="57" t="s">
        <v>477</v>
      </c>
      <c r="C430" s="53" t="s">
        <v>478</v>
      </c>
      <c r="D430" s="57" t="s">
        <v>50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819571</v>
      </c>
      <c r="B431" s="67" t="s">
        <v>913</v>
      </c>
      <c r="C431" s="64" t="s">
        <v>914</v>
      </c>
      <c r="D431" s="67" t="s">
        <v>50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785109</v>
      </c>
      <c r="B432" s="57" t="s">
        <v>479</v>
      </c>
      <c r="C432" s="53" t="s">
        <v>480</v>
      </c>
      <c r="D432" s="57" t="s">
        <v>50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67">
        <v>815177</v>
      </c>
      <c r="B433" s="67" t="s">
        <v>751</v>
      </c>
      <c r="C433" s="64" t="s">
        <v>752</v>
      </c>
      <c r="D433" s="67" t="s">
        <v>50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800111</v>
      </c>
      <c r="B434" s="57" t="s">
        <v>589</v>
      </c>
      <c r="C434" s="53" t="s">
        <v>590</v>
      </c>
      <c r="D434" s="57" t="s">
        <v>50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785472</v>
      </c>
      <c r="B435" s="57" t="s">
        <v>525</v>
      </c>
      <c r="C435" s="53" t="s">
        <v>526</v>
      </c>
      <c r="D435" s="57" t="s">
        <v>50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815178</v>
      </c>
      <c r="B436" s="67" t="s">
        <v>753</v>
      </c>
      <c r="C436" s="64" t="s">
        <v>754</v>
      </c>
      <c r="D436" s="67" t="s">
        <v>50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823244</v>
      </c>
      <c r="B437" s="67" t="s">
        <v>935</v>
      </c>
      <c r="C437" s="64" t="s">
        <v>936</v>
      </c>
      <c r="D437" s="67" t="s">
        <v>50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>
        <v>788206</v>
      </c>
      <c r="B438" s="57" t="s">
        <v>553</v>
      </c>
      <c r="C438" s="53" t="s">
        <v>554</v>
      </c>
      <c r="D438" s="57" t="s">
        <v>50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127863</v>
      </c>
      <c r="B439" s="57" t="s">
        <v>169</v>
      </c>
      <c r="C439" s="53" t="s">
        <v>170</v>
      </c>
      <c r="D439" s="57" t="s">
        <v>50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67">
        <v>815179</v>
      </c>
      <c r="B440" s="67" t="s">
        <v>755</v>
      </c>
      <c r="C440" s="64" t="s">
        <v>756</v>
      </c>
      <c r="D440" s="67" t="s">
        <v>50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>
        <v>817799</v>
      </c>
      <c r="B441" s="57" t="s">
        <v>1033</v>
      </c>
      <c r="C441" s="53" t="s">
        <v>1034</v>
      </c>
      <c r="D441" s="57" t="s">
        <v>50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>
        <v>127799</v>
      </c>
      <c r="B442" s="57" t="s">
        <v>143</v>
      </c>
      <c r="C442" s="53" t="s">
        <v>144</v>
      </c>
      <c r="D442" s="57" t="s">
        <v>50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792454</v>
      </c>
      <c r="B443" s="57" t="s">
        <v>583</v>
      </c>
      <c r="C443" s="53" t="s">
        <v>584</v>
      </c>
      <c r="D443" s="57" t="s">
        <v>50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>
        <v>127812</v>
      </c>
      <c r="B444" s="57" t="s">
        <v>145</v>
      </c>
      <c r="C444" s="53" t="s">
        <v>146</v>
      </c>
      <c r="D444" s="57" t="s">
        <v>50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815180</v>
      </c>
      <c r="B445" s="67" t="s">
        <v>757</v>
      </c>
      <c r="C445" s="64" t="s">
        <v>758</v>
      </c>
      <c r="D445" s="67" t="s">
        <v>50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820688</v>
      </c>
      <c r="B446" s="57" t="s">
        <v>1185</v>
      </c>
      <c r="C446" s="53" t="s">
        <v>1186</v>
      </c>
      <c r="D446" s="57" t="s">
        <v>50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67">
        <v>816834</v>
      </c>
      <c r="B447" s="67" t="s">
        <v>839</v>
      </c>
      <c r="C447" s="64" t="s">
        <v>840</v>
      </c>
      <c r="D447" s="67" t="s">
        <v>50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>
        <v>784878</v>
      </c>
      <c r="B448" s="57" t="s">
        <v>393</v>
      </c>
      <c r="C448" s="53" t="s">
        <v>394</v>
      </c>
      <c r="D448" s="57" t="s">
        <v>50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67">
        <v>815182</v>
      </c>
      <c r="B449" s="67" t="s">
        <v>759</v>
      </c>
      <c r="C449" s="64" t="s">
        <v>760</v>
      </c>
      <c r="D449" s="67" t="s">
        <v>50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56">
        <v>143069</v>
      </c>
      <c r="B450" s="57" t="s">
        <v>285</v>
      </c>
      <c r="C450" s="53" t="s">
        <v>286</v>
      </c>
      <c r="D450" s="57" t="s">
        <v>50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143078</v>
      </c>
      <c r="B451" s="57" t="s">
        <v>287</v>
      </c>
      <c r="C451" s="53" t="s">
        <v>288</v>
      </c>
      <c r="D451" s="57" t="s">
        <v>50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>
        <v>143084</v>
      </c>
      <c r="B452" s="57" t="s">
        <v>289</v>
      </c>
      <c r="C452" s="53" t="s">
        <v>290</v>
      </c>
      <c r="D452" s="57" t="s">
        <v>50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143087</v>
      </c>
      <c r="B453" s="57" t="s">
        <v>291</v>
      </c>
      <c r="C453" s="53" t="s">
        <v>292</v>
      </c>
      <c r="D453" s="57" t="s">
        <v>50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785110</v>
      </c>
      <c r="B454" s="57" t="s">
        <v>481</v>
      </c>
      <c r="C454" s="53" t="s">
        <v>482</v>
      </c>
      <c r="D454" s="57" t="s">
        <v>50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>
        <v>815595</v>
      </c>
      <c r="B455" s="57" t="s">
        <v>989</v>
      </c>
      <c r="C455" s="53" t="s">
        <v>990</v>
      </c>
      <c r="D455" s="57" t="s">
        <v>50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67">
        <v>817762</v>
      </c>
      <c r="B456" s="67" t="s">
        <v>897</v>
      </c>
      <c r="C456" s="64" t="s">
        <v>898</v>
      </c>
      <c r="D456" s="67" t="s">
        <v>50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785474</v>
      </c>
      <c r="B457" s="57" t="s">
        <v>527</v>
      </c>
      <c r="C457" s="53" t="s">
        <v>528</v>
      </c>
      <c r="D457" s="57" t="s">
        <v>50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815183</v>
      </c>
      <c r="B458" s="67" t="s">
        <v>761</v>
      </c>
      <c r="C458" s="64" t="s">
        <v>762</v>
      </c>
      <c r="D458" s="67" t="s">
        <v>50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67">
        <v>816874</v>
      </c>
      <c r="B459" s="67" t="s">
        <v>859</v>
      </c>
      <c r="C459" s="64" t="s">
        <v>860</v>
      </c>
      <c r="D459" s="67" t="s">
        <v>50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56">
        <v>784879</v>
      </c>
      <c r="B460" s="57" t="s">
        <v>395</v>
      </c>
      <c r="C460" s="53" t="s">
        <v>396</v>
      </c>
      <c r="D460" s="57" t="s">
        <v>50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784880</v>
      </c>
      <c r="B461" s="57" t="s">
        <v>397</v>
      </c>
      <c r="C461" s="53" t="s">
        <v>398</v>
      </c>
      <c r="D461" s="57" t="s">
        <v>50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56">
        <v>785475</v>
      </c>
      <c r="B462" s="57" t="s">
        <v>529</v>
      </c>
      <c r="C462" s="53" t="s">
        <v>530</v>
      </c>
      <c r="D462" s="57" t="s">
        <v>50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820515</v>
      </c>
      <c r="B463" s="57" t="s">
        <v>1159</v>
      </c>
      <c r="C463" s="53" t="s">
        <v>1160</v>
      </c>
      <c r="D463" s="57" t="s">
        <v>50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>
        <v>815184</v>
      </c>
      <c r="B464" s="55" t="s">
        <v>763</v>
      </c>
      <c r="C464" s="58" t="s">
        <v>764</v>
      </c>
      <c r="D464" s="55" t="s">
        <v>50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>
        <v>820672</v>
      </c>
      <c r="B465" s="55" t="s">
        <v>919</v>
      </c>
      <c r="C465" s="58" t="s">
        <v>920</v>
      </c>
      <c r="D465" s="55" t="s">
        <v>50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55">
        <v>828075</v>
      </c>
      <c r="B466" s="55" t="s">
        <v>971</v>
      </c>
      <c r="C466" s="58" t="s">
        <v>972</v>
      </c>
      <c r="D466" s="55" t="s">
        <v>50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9">
        <v>785113</v>
      </c>
      <c r="B467" s="70" t="s">
        <v>483</v>
      </c>
      <c r="C467" s="68" t="s">
        <v>484</v>
      </c>
      <c r="D467" s="70" t="s">
        <v>50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816136</v>
      </c>
      <c r="B468" s="70" t="s">
        <v>993</v>
      </c>
      <c r="C468" s="68" t="s">
        <v>994</v>
      </c>
      <c r="D468" s="70" t="s">
        <v>50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817775</v>
      </c>
      <c r="B469" s="70" t="s">
        <v>1017</v>
      </c>
      <c r="C469" s="68" t="s">
        <v>1018</v>
      </c>
      <c r="D469" s="70" t="s">
        <v>50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9">
        <v>143063</v>
      </c>
      <c r="B470" s="70" t="s">
        <v>281</v>
      </c>
      <c r="C470" s="68" t="s">
        <v>282</v>
      </c>
      <c r="D470" s="70" t="s">
        <v>50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55">
        <v>815185</v>
      </c>
      <c r="B471" s="55" t="s">
        <v>765</v>
      </c>
      <c r="C471" s="58" t="s">
        <v>766</v>
      </c>
      <c r="D471" s="55" t="s">
        <v>50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55">
        <v>815186</v>
      </c>
      <c r="B472" s="55" t="s">
        <v>767</v>
      </c>
      <c r="C472" s="58" t="s">
        <v>768</v>
      </c>
      <c r="D472" s="55" t="s">
        <v>50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143092</v>
      </c>
      <c r="B473" s="70" t="s">
        <v>293</v>
      </c>
      <c r="C473" s="68" t="s">
        <v>294</v>
      </c>
      <c r="D473" s="70" t="s">
        <v>50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55">
        <v>820666</v>
      </c>
      <c r="B474" s="55" t="s">
        <v>915</v>
      </c>
      <c r="C474" s="58" t="s">
        <v>916</v>
      </c>
      <c r="D474" s="55" t="s">
        <v>50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55">
        <v>816870</v>
      </c>
      <c r="B475" s="55" t="s">
        <v>857</v>
      </c>
      <c r="C475" s="58" t="s">
        <v>858</v>
      </c>
      <c r="D475" s="55" t="s">
        <v>50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2" customHeight="1" x14ac:dyDescent="0.25">
      <c r="A476" s="69">
        <v>820329</v>
      </c>
      <c r="B476" s="70" t="s">
        <v>1109</v>
      </c>
      <c r="C476" s="68" t="s">
        <v>1110</v>
      </c>
      <c r="D476" s="70" t="s">
        <v>50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2" customHeight="1" x14ac:dyDescent="0.25">
      <c r="A477" s="69">
        <v>820527</v>
      </c>
      <c r="B477" s="70" t="s">
        <v>1163</v>
      </c>
      <c r="C477" s="68" t="s">
        <v>1164</v>
      </c>
      <c r="D477" s="70" t="s">
        <v>50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2" customHeight="1" x14ac:dyDescent="0.25">
      <c r="A478" s="55">
        <v>816837</v>
      </c>
      <c r="B478" s="55" t="s">
        <v>841</v>
      </c>
      <c r="C478" s="58" t="s">
        <v>842</v>
      </c>
      <c r="D478" s="55" t="s">
        <v>50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2" customHeight="1" x14ac:dyDescent="0.25">
      <c r="A479" s="69">
        <v>785114</v>
      </c>
      <c r="B479" s="70" t="s">
        <v>485</v>
      </c>
      <c r="C479" s="68" t="s">
        <v>486</v>
      </c>
      <c r="D479" s="70" t="s">
        <v>50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2" customHeight="1" x14ac:dyDescent="0.25">
      <c r="A480" s="55">
        <v>815187</v>
      </c>
      <c r="B480" s="55" t="s">
        <v>769</v>
      </c>
      <c r="C480" s="58" t="s">
        <v>770</v>
      </c>
      <c r="D480" s="55" t="s">
        <v>50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2" customHeight="1" x14ac:dyDescent="0.25">
      <c r="A481" s="69">
        <v>127816</v>
      </c>
      <c r="B481" s="70" t="s">
        <v>149</v>
      </c>
      <c r="C481" s="68" t="s">
        <v>150</v>
      </c>
      <c r="D481" s="70" t="s">
        <v>50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2" customHeight="1" x14ac:dyDescent="0.25">
      <c r="A482" s="55">
        <v>820670</v>
      </c>
      <c r="B482" s="55" t="s">
        <v>917</v>
      </c>
      <c r="C482" s="58" t="s">
        <v>918</v>
      </c>
      <c r="D482" s="55" t="s">
        <v>50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2" customHeight="1" x14ac:dyDescent="0.25">
      <c r="A483" s="69">
        <v>785487</v>
      </c>
      <c r="B483" s="70" t="s">
        <v>531</v>
      </c>
      <c r="C483" s="68" t="s">
        <v>532</v>
      </c>
      <c r="D483" s="70" t="s">
        <v>50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2" customHeight="1" x14ac:dyDescent="0.25">
      <c r="A484" s="69">
        <v>143103</v>
      </c>
      <c r="B484" s="70" t="s">
        <v>295</v>
      </c>
      <c r="C484" s="68" t="s">
        <v>296</v>
      </c>
      <c r="D484" s="70" t="s">
        <v>50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2" customHeight="1" x14ac:dyDescent="0.25">
      <c r="A485" s="55">
        <v>817764</v>
      </c>
      <c r="B485" s="55" t="s">
        <v>899</v>
      </c>
      <c r="C485" s="58" t="s">
        <v>900</v>
      </c>
      <c r="D485" s="55" t="s">
        <v>50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2" customHeight="1" x14ac:dyDescent="0.25">
      <c r="A486" s="69">
        <v>785115</v>
      </c>
      <c r="B486" s="70" t="s">
        <v>487</v>
      </c>
      <c r="C486" s="68" t="s">
        <v>488</v>
      </c>
      <c r="D486" s="70" t="s">
        <v>50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2" customHeight="1" x14ac:dyDescent="0.25">
      <c r="A487" s="69">
        <v>784882</v>
      </c>
      <c r="B487" s="70" t="s">
        <v>399</v>
      </c>
      <c r="C487" s="68" t="s">
        <v>400</v>
      </c>
      <c r="D487" s="70" t="s">
        <v>50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2" customHeight="1" x14ac:dyDescent="0.25">
      <c r="A488" s="55">
        <v>815188</v>
      </c>
      <c r="B488" s="55" t="s">
        <v>771</v>
      </c>
      <c r="C488" s="58" t="s">
        <v>772</v>
      </c>
      <c r="D488" s="55" t="s">
        <v>50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2" customHeight="1" x14ac:dyDescent="0.25">
      <c r="A489" s="69">
        <v>127814</v>
      </c>
      <c r="B489" s="70" t="s">
        <v>147</v>
      </c>
      <c r="C489" s="68" t="s">
        <v>148</v>
      </c>
      <c r="D489" s="70" t="s">
        <v>50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2" customHeight="1" x14ac:dyDescent="0.25">
      <c r="A490" s="55">
        <v>815189</v>
      </c>
      <c r="B490" s="55" t="s">
        <v>773</v>
      </c>
      <c r="C490" s="58" t="s">
        <v>774</v>
      </c>
      <c r="D490" s="55" t="s">
        <v>50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2" customHeight="1" x14ac:dyDescent="0.25">
      <c r="A491" s="69">
        <v>127818</v>
      </c>
      <c r="B491" s="70" t="s">
        <v>151</v>
      </c>
      <c r="C491" s="68" t="s">
        <v>152</v>
      </c>
      <c r="D491" s="70" t="s">
        <v>50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2" customHeight="1" x14ac:dyDescent="0.25">
      <c r="A492" s="55">
        <v>815190</v>
      </c>
      <c r="B492" s="55" t="s">
        <v>775</v>
      </c>
      <c r="C492" s="58" t="s">
        <v>776</v>
      </c>
      <c r="D492" s="55" t="s">
        <v>50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2" customHeight="1" x14ac:dyDescent="0.25">
      <c r="A493" s="69">
        <v>127858</v>
      </c>
      <c r="B493" s="70" t="s">
        <v>167</v>
      </c>
      <c r="C493" s="68" t="s">
        <v>168</v>
      </c>
      <c r="D493" s="70" t="s">
        <v>50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2" customHeight="1" x14ac:dyDescent="0.25">
      <c r="A494" s="69">
        <v>817776</v>
      </c>
      <c r="B494" s="70" t="s">
        <v>1019</v>
      </c>
      <c r="C494" s="68" t="s">
        <v>1020</v>
      </c>
      <c r="D494" s="70" t="s">
        <v>50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2" customHeight="1" x14ac:dyDescent="0.25">
      <c r="A495" s="69">
        <v>127857</v>
      </c>
      <c r="B495" s="70" t="s">
        <v>165</v>
      </c>
      <c r="C495" s="68" t="s">
        <v>166</v>
      </c>
      <c r="D495" s="70" t="s">
        <v>50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2" customHeight="1" x14ac:dyDescent="0.25">
      <c r="A496" s="69">
        <v>820534</v>
      </c>
      <c r="B496" s="70" t="s">
        <v>1165</v>
      </c>
      <c r="C496" s="68" t="s">
        <v>1166</v>
      </c>
      <c r="D496" s="70" t="s">
        <v>50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2" customHeight="1" x14ac:dyDescent="0.25">
      <c r="A497" s="69">
        <v>815191</v>
      </c>
      <c r="B497" s="70" t="s">
        <v>1053</v>
      </c>
      <c r="C497" s="68" t="s">
        <v>1054</v>
      </c>
      <c r="D497" s="70" t="s">
        <v>50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2" customHeight="1" x14ac:dyDescent="0.25">
      <c r="A498" s="55">
        <v>815192</v>
      </c>
      <c r="B498" s="55" t="s">
        <v>777</v>
      </c>
      <c r="C498" s="58" t="s">
        <v>778</v>
      </c>
      <c r="D498" s="55" t="s">
        <v>50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2" customHeight="1" x14ac:dyDescent="0.25">
      <c r="A499" s="72">
        <v>143108</v>
      </c>
      <c r="B499" s="73" t="s">
        <v>297</v>
      </c>
      <c r="C499" s="71" t="s">
        <v>298</v>
      </c>
      <c r="D499" s="73" t="s">
        <v>50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2" customHeight="1" x14ac:dyDescent="0.25">
      <c r="A500" s="72">
        <v>101417</v>
      </c>
      <c r="B500" s="73" t="s">
        <v>51</v>
      </c>
      <c r="C500" s="71" t="s">
        <v>52</v>
      </c>
      <c r="D500" s="73" t="s">
        <v>50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2" customHeight="1" x14ac:dyDescent="0.25">
      <c r="A501" s="55">
        <v>815193</v>
      </c>
      <c r="B501" s="55" t="s">
        <v>779</v>
      </c>
      <c r="C501" s="58" t="s">
        <v>780</v>
      </c>
      <c r="D501" s="55" t="s">
        <v>50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2" customHeight="1" x14ac:dyDescent="0.25">
      <c r="A502" s="72">
        <v>785116</v>
      </c>
      <c r="B502" s="73" t="s">
        <v>489</v>
      </c>
      <c r="C502" s="71" t="s">
        <v>490</v>
      </c>
      <c r="D502" s="73" t="s">
        <v>50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2" customHeight="1" x14ac:dyDescent="0.25">
      <c r="A503" s="72">
        <v>816140</v>
      </c>
      <c r="B503" s="73" t="s">
        <v>997</v>
      </c>
      <c r="C503" s="71" t="s">
        <v>998</v>
      </c>
      <c r="D503" s="73" t="s">
        <v>50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2" customHeight="1" x14ac:dyDescent="0.25">
      <c r="A504" s="72">
        <v>806263</v>
      </c>
      <c r="B504" s="73" t="s">
        <v>601</v>
      </c>
      <c r="C504" s="71" t="s">
        <v>602</v>
      </c>
      <c r="D504" s="73" t="s">
        <v>50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2" customHeight="1" x14ac:dyDescent="0.25">
      <c r="A505" s="72">
        <v>127819</v>
      </c>
      <c r="B505" s="73" t="s">
        <v>153</v>
      </c>
      <c r="C505" s="71" t="s">
        <v>154</v>
      </c>
      <c r="D505" s="73" t="s">
        <v>50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2" customHeight="1" x14ac:dyDescent="0.25">
      <c r="A506" s="72">
        <v>127820</v>
      </c>
      <c r="B506" s="73" t="s">
        <v>155</v>
      </c>
      <c r="C506" s="71" t="s">
        <v>156</v>
      </c>
      <c r="D506" s="73" t="s">
        <v>50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2" customHeight="1" x14ac:dyDescent="0.25">
      <c r="A507" s="72">
        <v>784883</v>
      </c>
      <c r="B507" s="73" t="s">
        <v>401</v>
      </c>
      <c r="C507" s="71" t="s">
        <v>402</v>
      </c>
      <c r="D507" s="73" t="s">
        <v>50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2" customHeight="1" x14ac:dyDescent="0.25">
      <c r="A508" s="55">
        <v>821850</v>
      </c>
      <c r="B508" s="55" t="s">
        <v>933</v>
      </c>
      <c r="C508" s="58" t="s">
        <v>934</v>
      </c>
      <c r="D508" s="55" t="s">
        <v>50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2" customHeight="1" x14ac:dyDescent="0.25">
      <c r="A509" s="72">
        <v>784884</v>
      </c>
      <c r="B509" s="73" t="s">
        <v>403</v>
      </c>
      <c r="C509" s="71" t="s">
        <v>404</v>
      </c>
      <c r="D509" s="73" t="s">
        <v>50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2" customHeight="1" x14ac:dyDescent="0.25">
      <c r="A510" s="72">
        <v>143111</v>
      </c>
      <c r="B510" s="73" t="s">
        <v>299</v>
      </c>
      <c r="C510" s="71" t="s">
        <v>300</v>
      </c>
      <c r="D510" s="73" t="s">
        <v>50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2" customHeight="1" x14ac:dyDescent="0.25">
      <c r="A511" s="55">
        <v>815194</v>
      </c>
      <c r="B511" s="55" t="s">
        <v>781</v>
      </c>
      <c r="C511" s="58" t="s">
        <v>782</v>
      </c>
      <c r="D511" s="55" t="s">
        <v>50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2" customHeight="1" x14ac:dyDescent="0.25">
      <c r="A512" s="72">
        <v>788209</v>
      </c>
      <c r="B512" s="73" t="s">
        <v>555</v>
      </c>
      <c r="C512" s="71" t="s">
        <v>556</v>
      </c>
      <c r="D512" s="73" t="s">
        <v>50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2" customHeight="1" x14ac:dyDescent="0.25">
      <c r="A513" s="55">
        <v>815195</v>
      </c>
      <c r="B513" s="55" t="s">
        <v>783</v>
      </c>
      <c r="C513" s="58" t="s">
        <v>784</v>
      </c>
      <c r="D513" s="55" t="s">
        <v>50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2" customHeight="1" x14ac:dyDescent="0.25">
      <c r="A514" s="55">
        <v>815196</v>
      </c>
      <c r="B514" s="55" t="s">
        <v>785</v>
      </c>
      <c r="C514" s="58" t="s">
        <v>786</v>
      </c>
      <c r="D514" s="55" t="s">
        <v>50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2" customHeight="1" x14ac:dyDescent="0.25">
      <c r="A515" s="72">
        <v>137187</v>
      </c>
      <c r="B515" s="73" t="s">
        <v>187</v>
      </c>
      <c r="C515" s="71" t="s">
        <v>188</v>
      </c>
      <c r="D515" s="73" t="s">
        <v>50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2" customHeight="1" x14ac:dyDescent="0.25">
      <c r="A516" s="72">
        <v>817777</v>
      </c>
      <c r="B516" s="73" t="s">
        <v>1021</v>
      </c>
      <c r="C516" s="71" t="s">
        <v>1022</v>
      </c>
      <c r="D516" s="73" t="s">
        <v>50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2" customHeight="1" x14ac:dyDescent="0.25">
      <c r="A517" s="72">
        <v>816770</v>
      </c>
      <c r="B517" s="73" t="s">
        <v>1083</v>
      </c>
      <c r="C517" s="71" t="s">
        <v>1084</v>
      </c>
      <c r="D517" s="73" t="s">
        <v>50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2" customHeight="1" x14ac:dyDescent="0.25">
      <c r="A518" s="72">
        <v>806577</v>
      </c>
      <c r="B518" s="73" t="s">
        <v>603</v>
      </c>
      <c r="C518" s="71" t="s">
        <v>604</v>
      </c>
      <c r="D518" s="73" t="s">
        <v>50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2" customHeight="1" x14ac:dyDescent="0.25">
      <c r="A519" s="55">
        <v>815197</v>
      </c>
      <c r="B519" s="55" t="s">
        <v>787</v>
      </c>
      <c r="C519" s="58" t="s">
        <v>788</v>
      </c>
      <c r="D519" s="55" t="s">
        <v>50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2" customHeight="1" x14ac:dyDescent="0.25">
      <c r="A520" s="72">
        <v>785488</v>
      </c>
      <c r="B520" s="73" t="s">
        <v>533</v>
      </c>
      <c r="C520" s="71" t="s">
        <v>534</v>
      </c>
      <c r="D520" s="73" t="s">
        <v>50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2" customHeight="1" x14ac:dyDescent="0.25">
      <c r="A521" s="72">
        <v>784885</v>
      </c>
      <c r="B521" s="73" t="s">
        <v>405</v>
      </c>
      <c r="C521" s="71" t="s">
        <v>406</v>
      </c>
      <c r="D521" s="73" t="s">
        <v>50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2" customHeight="1" x14ac:dyDescent="0.25">
      <c r="A522" s="72">
        <v>816768</v>
      </c>
      <c r="B522" s="73" t="s">
        <v>1081</v>
      </c>
      <c r="C522" s="71" t="s">
        <v>1082</v>
      </c>
      <c r="D522" s="73" t="s">
        <v>50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2" customHeight="1" x14ac:dyDescent="0.25">
      <c r="A523" s="72">
        <v>820322</v>
      </c>
      <c r="B523" s="73" t="s">
        <v>1107</v>
      </c>
      <c r="C523" s="71" t="s">
        <v>1108</v>
      </c>
      <c r="D523" s="73" t="s">
        <v>50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2" customHeight="1" x14ac:dyDescent="0.25">
      <c r="A524" s="72">
        <v>816772</v>
      </c>
      <c r="B524" s="73" t="s">
        <v>1085</v>
      </c>
      <c r="C524" s="71" t="s">
        <v>1086</v>
      </c>
      <c r="D524" s="73" t="s">
        <v>50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2" customHeight="1" x14ac:dyDescent="0.25">
      <c r="A525" s="72">
        <v>785489</v>
      </c>
      <c r="B525" s="73" t="s">
        <v>535</v>
      </c>
      <c r="C525" s="71" t="s">
        <v>536</v>
      </c>
      <c r="D525" s="73" t="s">
        <v>50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2" customHeight="1" x14ac:dyDescent="0.25">
      <c r="A526" s="72">
        <v>820543</v>
      </c>
      <c r="B526" s="73" t="s">
        <v>1171</v>
      </c>
      <c r="C526" s="71" t="s">
        <v>1172</v>
      </c>
      <c r="D526" s="73" t="s">
        <v>50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2" customHeight="1" x14ac:dyDescent="0.25">
      <c r="A527" s="72">
        <v>820311</v>
      </c>
      <c r="B527" s="73" t="s">
        <v>1103</v>
      </c>
      <c r="C527" s="71" t="s">
        <v>1104</v>
      </c>
      <c r="D527" s="73" t="s">
        <v>50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2" customHeight="1" x14ac:dyDescent="0.25">
      <c r="A528" s="55">
        <v>815198</v>
      </c>
      <c r="B528" s="55" t="s">
        <v>789</v>
      </c>
      <c r="C528" s="58" t="s">
        <v>790</v>
      </c>
      <c r="D528" s="55" t="s">
        <v>50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2" customHeight="1" x14ac:dyDescent="0.25">
      <c r="A529" s="72">
        <v>820539</v>
      </c>
      <c r="B529" s="73" t="s">
        <v>1167</v>
      </c>
      <c r="C529" s="71" t="s">
        <v>1168</v>
      </c>
      <c r="D529" s="73" t="s">
        <v>50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2" customHeight="1" x14ac:dyDescent="0.25">
      <c r="A530" s="72">
        <v>820541</v>
      </c>
      <c r="B530" s="73" t="s">
        <v>1169</v>
      </c>
      <c r="C530" s="71" t="s">
        <v>1170</v>
      </c>
      <c r="D530" s="73" t="s">
        <v>50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2" customHeight="1" x14ac:dyDescent="0.25">
      <c r="A531" s="55">
        <v>815199</v>
      </c>
      <c r="B531" s="55" t="s">
        <v>791</v>
      </c>
      <c r="C531" s="58" t="s">
        <v>792</v>
      </c>
      <c r="D531" s="55" t="s">
        <v>50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2" customHeight="1" x14ac:dyDescent="0.25">
      <c r="A532" s="72">
        <v>113655</v>
      </c>
      <c r="B532" s="73" t="s">
        <v>65</v>
      </c>
      <c r="C532" s="71" t="s">
        <v>66</v>
      </c>
      <c r="D532" s="73" t="s">
        <v>50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2" customHeight="1" x14ac:dyDescent="0.25">
      <c r="A533" s="72">
        <v>785117</v>
      </c>
      <c r="B533" s="73" t="s">
        <v>491</v>
      </c>
      <c r="C533" s="71" t="s">
        <v>492</v>
      </c>
      <c r="D533" s="73" t="s">
        <v>50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2" customHeight="1" x14ac:dyDescent="0.25">
      <c r="A534" s="72">
        <v>785490</v>
      </c>
      <c r="B534" s="73" t="s">
        <v>537</v>
      </c>
      <c r="C534" s="71" t="s">
        <v>538</v>
      </c>
      <c r="D534" s="73" t="s">
        <v>50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2" customHeight="1" x14ac:dyDescent="0.25">
      <c r="A535" s="55">
        <v>815200</v>
      </c>
      <c r="B535" s="55" t="s">
        <v>793</v>
      </c>
      <c r="C535" s="58" t="s">
        <v>794</v>
      </c>
      <c r="D535" s="55" t="s">
        <v>50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2" customHeight="1" x14ac:dyDescent="0.25">
      <c r="A536" s="72">
        <v>127823</v>
      </c>
      <c r="B536" s="73" t="s">
        <v>157</v>
      </c>
      <c r="C536" s="71" t="s">
        <v>158</v>
      </c>
      <c r="D536" s="73" t="s">
        <v>50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2" customHeight="1" x14ac:dyDescent="0.25">
      <c r="A537" s="72">
        <v>143118</v>
      </c>
      <c r="B537" s="73" t="s">
        <v>301</v>
      </c>
      <c r="C537" s="71" t="s">
        <v>302</v>
      </c>
      <c r="D537" s="73" t="s">
        <v>50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2" customHeight="1" x14ac:dyDescent="0.25">
      <c r="A538" s="72">
        <v>784886</v>
      </c>
      <c r="B538" s="73" t="s">
        <v>407</v>
      </c>
      <c r="C538" s="71" t="s">
        <v>408</v>
      </c>
      <c r="D538" s="73" t="s">
        <v>50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2" customHeight="1" x14ac:dyDescent="0.25">
      <c r="A539" s="72">
        <v>820549</v>
      </c>
      <c r="B539" s="73" t="s">
        <v>1175</v>
      </c>
      <c r="C539" s="71" t="s">
        <v>1176</v>
      </c>
      <c r="D539" s="73" t="s">
        <v>50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2" customHeight="1" x14ac:dyDescent="0.25">
      <c r="A540" s="72">
        <v>816774</v>
      </c>
      <c r="B540" s="73" t="s">
        <v>1087</v>
      </c>
      <c r="C540" s="71" t="s">
        <v>1088</v>
      </c>
      <c r="D540" s="73" t="s">
        <v>50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2" customHeight="1" x14ac:dyDescent="0.25">
      <c r="A541" s="72">
        <v>816778</v>
      </c>
      <c r="B541" s="73" t="s">
        <v>1089</v>
      </c>
      <c r="C541" s="71" t="s">
        <v>1090</v>
      </c>
      <c r="D541" s="73" t="s">
        <v>50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2" customHeight="1" x14ac:dyDescent="0.25">
      <c r="A542" s="72">
        <v>780667</v>
      </c>
      <c r="B542" s="73" t="s">
        <v>343</v>
      </c>
      <c r="C542" s="71" t="s">
        <v>344</v>
      </c>
      <c r="D542" s="73" t="s">
        <v>50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2" customHeight="1" x14ac:dyDescent="0.25">
      <c r="A543" s="72">
        <v>127825</v>
      </c>
      <c r="B543" s="73" t="s">
        <v>159</v>
      </c>
      <c r="C543" s="71" t="s">
        <v>160</v>
      </c>
      <c r="D543" s="73" t="s">
        <v>50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2" customHeight="1" x14ac:dyDescent="0.25">
      <c r="A544" s="72">
        <v>127828</v>
      </c>
      <c r="B544" s="73" t="s">
        <v>161</v>
      </c>
      <c r="C544" s="71" t="s">
        <v>162</v>
      </c>
      <c r="D544" s="73" t="s">
        <v>50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2" customHeight="1" x14ac:dyDescent="0.25">
      <c r="A545" s="72">
        <v>820547</v>
      </c>
      <c r="B545" s="73" t="s">
        <v>1173</v>
      </c>
      <c r="C545" s="71" t="s">
        <v>1174</v>
      </c>
      <c r="D545" s="73" t="s">
        <v>50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2" customHeight="1" x14ac:dyDescent="0.25">
      <c r="A546" s="55">
        <v>815201</v>
      </c>
      <c r="B546" s="55" t="s">
        <v>795</v>
      </c>
      <c r="C546" s="58" t="s">
        <v>796</v>
      </c>
      <c r="D546" s="55" t="s">
        <v>50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2" customHeight="1" x14ac:dyDescent="0.25">
      <c r="A547" s="55">
        <v>815202</v>
      </c>
      <c r="B547" s="55" t="s">
        <v>797</v>
      </c>
      <c r="C547" s="58" t="s">
        <v>798</v>
      </c>
      <c r="D547" s="55" t="s">
        <v>50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2" customHeight="1" x14ac:dyDescent="0.25">
      <c r="A548" s="55">
        <v>815203</v>
      </c>
      <c r="B548" s="55" t="s">
        <v>799</v>
      </c>
      <c r="C548" s="58" t="s">
        <v>800</v>
      </c>
      <c r="D548" s="55" t="s">
        <v>50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2" customHeight="1" x14ac:dyDescent="0.25">
      <c r="A549" s="72">
        <v>785492</v>
      </c>
      <c r="B549" s="73" t="s">
        <v>539</v>
      </c>
      <c r="C549" s="71" t="s">
        <v>540</v>
      </c>
      <c r="D549" s="73" t="s">
        <v>50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2" customHeight="1" x14ac:dyDescent="0.25">
      <c r="A550" s="72">
        <v>820558</v>
      </c>
      <c r="B550" s="73" t="s">
        <v>1177</v>
      </c>
      <c r="C550" s="71" t="s">
        <v>1178</v>
      </c>
      <c r="D550" s="73" t="s">
        <v>50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2" customHeight="1" x14ac:dyDescent="0.25">
      <c r="A551" s="55">
        <v>815204</v>
      </c>
      <c r="B551" s="55" t="s">
        <v>801</v>
      </c>
      <c r="C551" s="58" t="s">
        <v>802</v>
      </c>
      <c r="D551" s="55" t="s">
        <v>50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2" customHeight="1" x14ac:dyDescent="0.25">
      <c r="A552" s="72">
        <v>149143</v>
      </c>
      <c r="B552" s="73" t="s">
        <v>333</v>
      </c>
      <c r="C552" s="71" t="s">
        <v>334</v>
      </c>
      <c r="D552" s="73" t="s">
        <v>50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2" customHeight="1" x14ac:dyDescent="0.25">
      <c r="A553" s="72">
        <v>807315</v>
      </c>
      <c r="B553" s="73" t="s">
        <v>605</v>
      </c>
      <c r="C553" s="71" t="s">
        <v>606</v>
      </c>
      <c r="D553" s="73" t="s">
        <v>50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2" customHeight="1" x14ac:dyDescent="0.25">
      <c r="A554" s="72">
        <v>792265</v>
      </c>
      <c r="B554" s="73" t="s">
        <v>581</v>
      </c>
      <c r="C554" s="71" t="s">
        <v>582</v>
      </c>
      <c r="D554" s="73" t="s">
        <v>50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2" customHeight="1" x14ac:dyDescent="0.25">
      <c r="A555" s="72">
        <v>784887</v>
      </c>
      <c r="B555" s="73" t="s">
        <v>409</v>
      </c>
      <c r="C555" s="71" t="s">
        <v>410</v>
      </c>
      <c r="D555" s="73" t="s">
        <v>50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2" customHeight="1" x14ac:dyDescent="0.25">
      <c r="A556" s="55">
        <v>816868</v>
      </c>
      <c r="B556" s="55" t="s">
        <v>855</v>
      </c>
      <c r="C556" s="58" t="s">
        <v>856</v>
      </c>
      <c r="D556" s="55" t="s">
        <v>50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2" customHeight="1" x14ac:dyDescent="0.25">
      <c r="A557" s="72">
        <v>101392</v>
      </c>
      <c r="B557" s="73" t="s">
        <v>48</v>
      </c>
      <c r="C557" s="71" t="s">
        <v>49</v>
      </c>
      <c r="D557" s="73" t="s">
        <v>50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2" customHeight="1" x14ac:dyDescent="0.25">
      <c r="A558" s="72">
        <v>788210</v>
      </c>
      <c r="B558" s="73" t="s">
        <v>557</v>
      </c>
      <c r="C558" s="71" t="s">
        <v>558</v>
      </c>
      <c r="D558" s="73" t="s">
        <v>50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2" customHeight="1" x14ac:dyDescent="0.25">
      <c r="A559" s="72">
        <v>817362</v>
      </c>
      <c r="B559" s="73" t="s">
        <v>1001</v>
      </c>
      <c r="C559" s="71" t="s">
        <v>1002</v>
      </c>
      <c r="D559" s="73" t="s">
        <v>50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2" customHeight="1" x14ac:dyDescent="0.25">
      <c r="A560" s="55">
        <v>815205</v>
      </c>
      <c r="B560" s="55" t="s">
        <v>803</v>
      </c>
      <c r="C560" s="58" t="s">
        <v>804</v>
      </c>
      <c r="D560" s="55" t="s">
        <v>50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2" customHeight="1" x14ac:dyDescent="0.25">
      <c r="A561" s="72">
        <v>127830</v>
      </c>
      <c r="B561" s="73" t="s">
        <v>163</v>
      </c>
      <c r="C561" s="71" t="s">
        <v>164</v>
      </c>
      <c r="D561" s="73" t="s">
        <v>50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2" customHeight="1" x14ac:dyDescent="0.25">
      <c r="A562" s="55">
        <v>817766</v>
      </c>
      <c r="B562" s="55" t="s">
        <v>901</v>
      </c>
      <c r="C562" s="58" t="s">
        <v>902</v>
      </c>
      <c r="D562" s="55" t="s">
        <v>50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2" customHeight="1" x14ac:dyDescent="0.25">
      <c r="A563" s="55">
        <v>827189</v>
      </c>
      <c r="B563" s="55" t="s">
        <v>957</v>
      </c>
      <c r="C563" s="58" t="s">
        <v>958</v>
      </c>
      <c r="D563" s="55" t="s">
        <v>50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2" customHeight="1" x14ac:dyDescent="0.25">
      <c r="A564" s="72">
        <v>788211</v>
      </c>
      <c r="B564" s="73" t="s">
        <v>559</v>
      </c>
      <c r="C564" s="71" t="s">
        <v>560</v>
      </c>
      <c r="D564" s="73" t="s">
        <v>50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2" customHeight="1" x14ac:dyDescent="0.25">
      <c r="A565" s="72">
        <v>785118</v>
      </c>
      <c r="B565" s="73" t="s">
        <v>493</v>
      </c>
      <c r="C565" s="71" t="s">
        <v>494</v>
      </c>
      <c r="D565" s="73" t="s">
        <v>50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2" customHeight="1" x14ac:dyDescent="0.25">
      <c r="A566" s="72">
        <v>784888</v>
      </c>
      <c r="B566" s="73" t="s">
        <v>411</v>
      </c>
      <c r="C566" s="71" t="s">
        <v>412</v>
      </c>
      <c r="D566" s="73" t="s">
        <v>50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2" customHeight="1" x14ac:dyDescent="0.25">
      <c r="A567" s="55">
        <v>826374</v>
      </c>
      <c r="B567" s="55" t="s">
        <v>945</v>
      </c>
      <c r="C567" s="58" t="s">
        <v>946</v>
      </c>
      <c r="D567" s="55" t="s">
        <v>50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2" customHeight="1" x14ac:dyDescent="0.25">
      <c r="A568" s="72">
        <v>816781</v>
      </c>
      <c r="B568" s="73" t="s">
        <v>1091</v>
      </c>
      <c r="C568" s="71" t="s">
        <v>1092</v>
      </c>
      <c r="D568" s="73" t="s">
        <v>50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2" customHeight="1" x14ac:dyDescent="0.25">
      <c r="A569" s="55">
        <v>816840</v>
      </c>
      <c r="B569" s="55" t="s">
        <v>843</v>
      </c>
      <c r="C569" s="58" t="s">
        <v>844</v>
      </c>
      <c r="D569" s="55" t="s">
        <v>50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2" customHeight="1" x14ac:dyDescent="0.25">
      <c r="A570" s="72">
        <v>816783</v>
      </c>
      <c r="B570" s="73" t="s">
        <v>1093</v>
      </c>
      <c r="C570" s="71" t="s">
        <v>1094</v>
      </c>
      <c r="D570" s="73" t="s">
        <v>50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2" customHeight="1" x14ac:dyDescent="0.25">
      <c r="A571" s="72">
        <v>784889</v>
      </c>
      <c r="B571" s="73" t="s">
        <v>413</v>
      </c>
      <c r="C571" s="71" t="s">
        <v>414</v>
      </c>
      <c r="D571" s="73" t="s">
        <v>50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2" customHeight="1" x14ac:dyDescent="0.25">
      <c r="A572" s="55">
        <v>823248</v>
      </c>
      <c r="B572" s="55" t="s">
        <v>939</v>
      </c>
      <c r="C572" s="58" t="s">
        <v>940</v>
      </c>
      <c r="D572" s="55" t="s">
        <v>50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2" customHeight="1" x14ac:dyDescent="0.25">
      <c r="A573" s="72">
        <v>143122</v>
      </c>
      <c r="B573" s="73" t="s">
        <v>305</v>
      </c>
      <c r="C573" s="71" t="s">
        <v>306</v>
      </c>
      <c r="D573" s="73" t="s">
        <v>50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2" customHeight="1" x14ac:dyDescent="0.25">
      <c r="A574" s="72">
        <v>143121</v>
      </c>
      <c r="B574" s="73" t="s">
        <v>303</v>
      </c>
      <c r="C574" s="71" t="s">
        <v>304</v>
      </c>
      <c r="D574" s="73" t="s">
        <v>50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2" customHeight="1" x14ac:dyDescent="0.25">
      <c r="A575" s="72"/>
      <c r="B575" s="73"/>
      <c r="C575" s="71"/>
      <c r="D575" s="73"/>
      <c r="E575" s="50" t="str">
        <f t="shared" si="16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72"/>
      <c r="B576" s="73"/>
      <c r="C576" s="71"/>
      <c r="D576" s="73"/>
      <c r="E576" s="50" t="str">
        <f t="shared" si="16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72"/>
      <c r="B577" s="73"/>
      <c r="C577" s="71"/>
      <c r="D577" s="73"/>
      <c r="E577" s="50" t="str">
        <f t="shared" ref="E577:E640" si="18">LEFT(C577,IF(ISERROR(FIND(":",C577))=TRUE,LEN(C577),FIND(":",C577)-1)) &amp; ";" &amp; B577 &amp; ";" &amp; A577 &amp; ";" &amp;D577</f>
        <v>;;;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72"/>
      <c r="B578" s="73"/>
      <c r="C578" s="71"/>
      <c r="D578" s="73"/>
      <c r="E578" s="50" t="str">
        <f t="shared" si="18"/>
        <v>;;;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72"/>
      <c r="B579" s="73"/>
      <c r="C579" s="71"/>
      <c r="D579" s="73"/>
      <c r="E579" s="50" t="str">
        <f t="shared" si="18"/>
        <v>;;;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72"/>
      <c r="B580" s="73"/>
      <c r="C580" s="71"/>
      <c r="D580" s="73"/>
      <c r="E580" s="50" t="str">
        <f t="shared" si="18"/>
        <v>;;;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72"/>
      <c r="B581" s="73"/>
      <c r="C581" s="71"/>
      <c r="D581" s="73"/>
      <c r="E581" s="50" t="str">
        <f t="shared" si="18"/>
        <v>;;;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72"/>
      <c r="B582" s="73"/>
      <c r="C582" s="71"/>
      <c r="D582" s="73"/>
      <c r="E582" s="50" t="str">
        <f t="shared" si="18"/>
        <v>;;;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72"/>
      <c r="B583" s="73"/>
      <c r="C583" s="71"/>
      <c r="D583" s="73"/>
      <c r="E583" s="50" t="str">
        <f t="shared" si="18"/>
        <v>;;;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72"/>
      <c r="B584" s="73"/>
      <c r="C584" s="71"/>
      <c r="D584" s="73"/>
      <c r="E584" s="50" t="str">
        <f t="shared" si="18"/>
        <v>;;;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72"/>
      <c r="B585" s="73"/>
      <c r="C585" s="71"/>
      <c r="D585" s="73"/>
      <c r="E585" s="50" t="str">
        <f t="shared" si="18"/>
        <v>;;;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72"/>
      <c r="B586" s="73"/>
      <c r="C586" s="71"/>
      <c r="D586" s="73"/>
      <c r="E586" s="50" t="str">
        <f t="shared" si="18"/>
        <v>;;;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72"/>
      <c r="B587" s="73"/>
      <c r="C587" s="71"/>
      <c r="D587" s="73"/>
      <c r="E587" s="50" t="str">
        <f t="shared" si="18"/>
        <v>;;;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72"/>
      <c r="B588" s="73"/>
      <c r="C588" s="71"/>
      <c r="D588" s="73"/>
      <c r="E588" s="50" t="str">
        <f t="shared" si="18"/>
        <v>;;;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72"/>
      <c r="B589" s="73"/>
      <c r="C589" s="71"/>
      <c r="D589" s="73"/>
      <c r="E589" s="50" t="str">
        <f t="shared" si="18"/>
        <v>;;;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72"/>
      <c r="B590" s="73"/>
      <c r="C590" s="71"/>
      <c r="D590" s="73"/>
      <c r="E590" s="50" t="str">
        <f t="shared" si="18"/>
        <v>;;;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72"/>
      <c r="B591" s="73"/>
      <c r="C591" s="71"/>
      <c r="D591" s="73"/>
      <c r="E591" s="50" t="str">
        <f t="shared" si="18"/>
        <v>;;;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72"/>
      <c r="B592" s="73"/>
      <c r="C592" s="71"/>
      <c r="D592" s="73"/>
      <c r="E592" s="50" t="str">
        <f t="shared" si="18"/>
        <v>;;;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72"/>
      <c r="B593" s="73"/>
      <c r="C593" s="71"/>
      <c r="D593" s="73"/>
      <c r="E593" s="50" t="str">
        <f t="shared" si="18"/>
        <v>;;;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72"/>
      <c r="B594" s="73"/>
      <c r="C594" s="71"/>
      <c r="D594" s="73"/>
      <c r="E594" s="50" t="str">
        <f t="shared" si="18"/>
        <v>;;;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72"/>
      <c r="B595" s="73"/>
      <c r="C595" s="71"/>
      <c r="D595" s="73"/>
      <c r="E595" s="50" t="str">
        <f t="shared" si="18"/>
        <v>;;;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72"/>
      <c r="B596" s="73"/>
      <c r="C596" s="71"/>
      <c r="D596" s="73"/>
      <c r="E596" s="50" t="str">
        <f t="shared" si="18"/>
        <v>;;;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72"/>
      <c r="B597" s="73"/>
      <c r="C597" s="71"/>
      <c r="D597" s="73"/>
      <c r="E597" s="50" t="str">
        <f t="shared" si="18"/>
        <v>;;;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72"/>
      <c r="B598" s="73"/>
      <c r="C598" s="71"/>
      <c r="D598" s="73"/>
      <c r="E598" s="50" t="str">
        <f t="shared" si="18"/>
        <v>;;;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72"/>
      <c r="B599" s="73"/>
      <c r="C599" s="71"/>
      <c r="D599" s="73"/>
      <c r="E599" s="50" t="str">
        <f t="shared" si="18"/>
        <v>;;;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72"/>
      <c r="B600" s="73"/>
      <c r="C600" s="71"/>
      <c r="D600" s="73"/>
      <c r="E600" s="50" t="str">
        <f t="shared" si="18"/>
        <v>;;;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72"/>
      <c r="B601" s="73"/>
      <c r="C601" s="71"/>
      <c r="D601" s="73"/>
      <c r="E601" s="50" t="str">
        <f t="shared" si="18"/>
        <v>;;;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72"/>
      <c r="B602" s="73"/>
      <c r="C602" s="71"/>
      <c r="D602" s="73"/>
      <c r="E602" s="50" t="str">
        <f t="shared" si="18"/>
        <v>;;;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72"/>
      <c r="B603" s="73"/>
      <c r="C603" s="71"/>
      <c r="D603" s="73"/>
      <c r="E603" s="50" t="str">
        <f t="shared" si="18"/>
        <v>;;;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72"/>
      <c r="B604" s="73"/>
      <c r="C604" s="71"/>
      <c r="D604" s="73"/>
      <c r="E604" s="50" t="str">
        <f t="shared" si="18"/>
        <v>;;;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72"/>
      <c r="B605" s="73"/>
      <c r="C605" s="71"/>
      <c r="D605" s="73"/>
      <c r="E605" s="50" t="str">
        <f t="shared" si="18"/>
        <v>;;;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72"/>
      <c r="B606" s="73"/>
      <c r="C606" s="71"/>
      <c r="D606" s="73"/>
      <c r="E606" s="50" t="str">
        <f t="shared" si="18"/>
        <v>;;;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72"/>
      <c r="B607" s="73"/>
      <c r="C607" s="71"/>
      <c r="D607" s="73"/>
      <c r="E607" s="50" t="str">
        <f t="shared" si="18"/>
        <v>;;;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72"/>
      <c r="B608" s="73"/>
      <c r="C608" s="71"/>
      <c r="D608" s="73"/>
      <c r="E608" s="50" t="str">
        <f t="shared" si="18"/>
        <v>;;;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72"/>
      <c r="B609" s="73"/>
      <c r="C609" s="71"/>
      <c r="D609" s="73"/>
      <c r="E609" s="50" t="str">
        <f t="shared" si="18"/>
        <v>;;;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72"/>
      <c r="B610" s="73"/>
      <c r="C610" s="71"/>
      <c r="D610" s="73"/>
      <c r="E610" s="50" t="str">
        <f t="shared" si="18"/>
        <v>;;;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72"/>
      <c r="B611" s="73"/>
      <c r="C611" s="71"/>
      <c r="D611" s="73"/>
      <c r="E611" s="50" t="str">
        <f t="shared" si="18"/>
        <v>;;;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72"/>
      <c r="B612" s="73"/>
      <c r="C612" s="71"/>
      <c r="D612" s="73"/>
      <c r="E612" s="50" t="str">
        <f t="shared" si="18"/>
        <v>;;;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72"/>
      <c r="B613" s="73"/>
      <c r="C613" s="71"/>
      <c r="D613" s="73"/>
      <c r="E613" s="50" t="str">
        <f t="shared" si="18"/>
        <v>;;;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72"/>
      <c r="B614" s="73"/>
      <c r="C614" s="71"/>
      <c r="D614" s="73"/>
      <c r="E614" s="50" t="str">
        <f t="shared" si="18"/>
        <v>;;;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72"/>
      <c r="B615" s="73"/>
      <c r="C615" s="71"/>
      <c r="D615" s="73"/>
      <c r="E615" s="50" t="str">
        <f t="shared" si="18"/>
        <v>;;;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72"/>
      <c r="B616" s="73"/>
      <c r="C616" s="71"/>
      <c r="D616" s="73"/>
      <c r="E616" s="50" t="str">
        <f t="shared" si="18"/>
        <v>;;;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72"/>
      <c r="B617" s="73"/>
      <c r="C617" s="71"/>
      <c r="D617" s="73"/>
      <c r="E617" s="50" t="str">
        <f t="shared" si="18"/>
        <v>;;;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72"/>
      <c r="B618" s="73"/>
      <c r="C618" s="71"/>
      <c r="D618" s="73"/>
      <c r="E618" s="50" t="str">
        <f t="shared" si="18"/>
        <v>;;;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72"/>
      <c r="B619" s="73"/>
      <c r="C619" s="71"/>
      <c r="D619" s="73"/>
      <c r="E619" s="50" t="str">
        <f t="shared" si="18"/>
        <v>;;;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72"/>
      <c r="B620" s="73"/>
      <c r="C620" s="71"/>
      <c r="D620" s="73"/>
      <c r="E620" s="50" t="str">
        <f t="shared" si="18"/>
        <v>;;;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72"/>
      <c r="B621" s="73"/>
      <c r="C621" s="71"/>
      <c r="D621" s="73"/>
      <c r="E621" s="50" t="str">
        <f t="shared" si="18"/>
        <v>;;;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72"/>
      <c r="B622" s="73"/>
      <c r="C622" s="71"/>
      <c r="D622" s="73"/>
      <c r="E622" s="50" t="str">
        <f t="shared" si="18"/>
        <v>;;;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72"/>
      <c r="B623" s="73"/>
      <c r="C623" s="71"/>
      <c r="D623" s="73"/>
      <c r="E623" s="50" t="str">
        <f t="shared" si="18"/>
        <v>;;;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72"/>
      <c r="B624" s="73"/>
      <c r="C624" s="71"/>
      <c r="D624" s="73"/>
      <c r="E624" s="50" t="str">
        <f t="shared" si="18"/>
        <v>;;;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72"/>
      <c r="B625" s="73"/>
      <c r="C625" s="71"/>
      <c r="D625" s="73"/>
      <c r="E625" s="50" t="str">
        <f t="shared" si="18"/>
        <v>;;;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72"/>
      <c r="B626" s="73"/>
      <c r="C626" s="71"/>
      <c r="D626" s="73"/>
      <c r="E626" s="50" t="str">
        <f t="shared" si="18"/>
        <v>;;;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72"/>
      <c r="B627" s="73"/>
      <c r="C627" s="71"/>
      <c r="D627" s="73"/>
      <c r="E627" s="50" t="str">
        <f t="shared" si="18"/>
        <v>;;;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72"/>
      <c r="B628" s="73"/>
      <c r="C628" s="71"/>
      <c r="D628" s="73"/>
      <c r="E628" s="50" t="str">
        <f t="shared" si="18"/>
        <v>;;;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72"/>
      <c r="B629" s="73"/>
      <c r="C629" s="71"/>
      <c r="D629" s="73"/>
      <c r="E629" s="50" t="str">
        <f t="shared" si="18"/>
        <v>;;;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72"/>
      <c r="B630" s="73"/>
      <c r="C630" s="71"/>
      <c r="D630" s="73"/>
      <c r="E630" s="50" t="str">
        <f t="shared" si="18"/>
        <v>;;;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72"/>
      <c r="B631" s="73"/>
      <c r="C631" s="71"/>
      <c r="D631" s="73"/>
      <c r="E631" s="50" t="str">
        <f t="shared" si="18"/>
        <v>;;;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72"/>
      <c r="B632" s="73"/>
      <c r="C632" s="71"/>
      <c r="D632" s="73"/>
      <c r="E632" s="50" t="str">
        <f t="shared" si="18"/>
        <v>;;;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72"/>
      <c r="B633" s="73"/>
      <c r="C633" s="71"/>
      <c r="D633" s="73"/>
      <c r="E633" s="50" t="str">
        <f t="shared" si="18"/>
        <v>;;;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72"/>
      <c r="B634" s="73"/>
      <c r="C634" s="71"/>
      <c r="D634" s="73"/>
      <c r="E634" s="50" t="str">
        <f t="shared" si="18"/>
        <v>;;;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72"/>
      <c r="B635" s="73"/>
      <c r="C635" s="71"/>
      <c r="D635" s="73"/>
      <c r="E635" s="50" t="str">
        <f t="shared" si="18"/>
        <v>;;;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72"/>
      <c r="B636" s="73"/>
      <c r="C636" s="71"/>
      <c r="D636" s="73"/>
      <c r="E636" s="50" t="str">
        <f t="shared" si="18"/>
        <v>;;;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72"/>
      <c r="B637" s="73"/>
      <c r="C637" s="71"/>
      <c r="D637" s="73"/>
      <c r="E637" s="50" t="str">
        <f t="shared" si="18"/>
        <v>;;;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72"/>
      <c r="B638" s="73"/>
      <c r="C638" s="71"/>
      <c r="D638" s="73"/>
      <c r="E638" s="50" t="str">
        <f t="shared" si="18"/>
        <v>;;;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72"/>
      <c r="B639" s="73"/>
      <c r="C639" s="71"/>
      <c r="D639" s="73"/>
      <c r="E639" s="50" t="str">
        <f t="shared" si="18"/>
        <v>;;;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72"/>
      <c r="B640" s="73"/>
      <c r="C640" s="71"/>
      <c r="D640" s="73"/>
      <c r="E640" s="50" t="str">
        <f t="shared" si="18"/>
        <v>;;;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72"/>
      <c r="B641" s="73"/>
      <c r="C641" s="71"/>
      <c r="D641" s="73"/>
      <c r="E641" s="50" t="str">
        <f t="shared" ref="E641:E704" si="20">LEFT(C641,IF(ISERROR(FIND(":",C641))=TRUE,LEN(C641),FIND(":",C641)-1)) &amp; ";" &amp; B641 &amp; ";" &amp; A641 &amp; ";" &amp;D641</f>
        <v>;;;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72"/>
      <c r="B642" s="73"/>
      <c r="C642" s="71"/>
      <c r="D642" s="73"/>
      <c r="E642" s="50" t="str">
        <f t="shared" si="20"/>
        <v>;;;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72"/>
      <c r="B643" s="73"/>
      <c r="C643" s="71"/>
      <c r="D643" s="73"/>
      <c r="E643" s="50" t="str">
        <f t="shared" si="20"/>
        <v>;;;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72"/>
      <c r="B644" s="73"/>
      <c r="C644" s="71"/>
      <c r="D644" s="73"/>
      <c r="E644" s="50" t="str">
        <f t="shared" si="20"/>
        <v>;;;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72"/>
      <c r="B645" s="73"/>
      <c r="C645" s="71"/>
      <c r="D645" s="73"/>
      <c r="E645" s="50" t="str">
        <f t="shared" si="20"/>
        <v>;;;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72"/>
      <c r="B646" s="73"/>
      <c r="C646" s="71"/>
      <c r="D646" s="73"/>
      <c r="E646" s="50" t="str">
        <f t="shared" si="20"/>
        <v>;;;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72"/>
      <c r="B647" s="73"/>
      <c r="C647" s="71"/>
      <c r="D647" s="73"/>
      <c r="E647" s="50" t="str">
        <f t="shared" si="20"/>
        <v>;;;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72"/>
      <c r="B648" s="73"/>
      <c r="C648" s="71"/>
      <c r="D648" s="73"/>
      <c r="E648" s="50" t="str">
        <f t="shared" si="20"/>
        <v>;;;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72"/>
      <c r="B649" s="73"/>
      <c r="C649" s="71"/>
      <c r="D649" s="73"/>
      <c r="E649" s="50" t="str">
        <f t="shared" si="20"/>
        <v>;;;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72"/>
      <c r="B650" s="73"/>
      <c r="C650" s="71"/>
      <c r="D650" s="73"/>
      <c r="E650" s="50" t="str">
        <f t="shared" si="20"/>
        <v>;;;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72"/>
      <c r="B651" s="73"/>
      <c r="C651" s="71"/>
      <c r="D651" s="73"/>
      <c r="E651" s="50" t="str">
        <f t="shared" si="20"/>
        <v>;;;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72"/>
      <c r="B652" s="73"/>
      <c r="C652" s="71"/>
      <c r="D652" s="73"/>
      <c r="E652" s="50" t="str">
        <f t="shared" si="20"/>
        <v>;;;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72"/>
      <c r="B653" s="73"/>
      <c r="C653" s="71"/>
      <c r="D653" s="73"/>
      <c r="E653" s="50" t="str">
        <f t="shared" si="20"/>
        <v>;;;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72"/>
      <c r="B654" s="73"/>
      <c r="C654" s="71"/>
      <c r="D654" s="73"/>
      <c r="E654" s="50" t="str">
        <f t="shared" si="20"/>
        <v>;;;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72"/>
      <c r="B655" s="73"/>
      <c r="C655" s="71"/>
      <c r="D655" s="73"/>
      <c r="E655" s="50" t="str">
        <f t="shared" si="20"/>
        <v>;;;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72"/>
      <c r="B656" s="73"/>
      <c r="C656" s="71"/>
      <c r="D656" s="73"/>
      <c r="E656" s="50" t="str">
        <f t="shared" si="20"/>
        <v>;;;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72"/>
      <c r="B657" s="73"/>
      <c r="C657" s="71"/>
      <c r="D657" s="73"/>
      <c r="E657" s="50" t="str">
        <f t="shared" si="20"/>
        <v>;;;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72"/>
      <c r="B658" s="73"/>
      <c r="C658" s="71"/>
      <c r="D658" s="73"/>
      <c r="E658" s="50" t="str">
        <f t="shared" si="20"/>
        <v>;;;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72"/>
      <c r="B659" s="73"/>
      <c r="C659" s="71"/>
      <c r="D659" s="73"/>
      <c r="E659" s="50" t="str">
        <f t="shared" si="20"/>
        <v>;;;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72"/>
      <c r="B660" s="73"/>
      <c r="C660" s="71"/>
      <c r="D660" s="73"/>
      <c r="E660" s="50" t="str">
        <f t="shared" si="20"/>
        <v>;;;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2" customHeight="1" x14ac:dyDescent="0.25">
      <c r="A661" s="72"/>
      <c r="B661" s="73"/>
      <c r="C661" s="71"/>
      <c r="D661" s="73"/>
      <c r="E661" s="50" t="str">
        <f t="shared" si="20"/>
        <v>;;;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2" customHeight="1" x14ac:dyDescent="0.25">
      <c r="A662" s="72"/>
      <c r="B662" s="73"/>
      <c r="C662" s="71"/>
      <c r="D662" s="73"/>
      <c r="E662" s="50" t="str">
        <f t="shared" si="20"/>
        <v>;;;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2" customHeight="1" x14ac:dyDescent="0.25">
      <c r="A663" s="72"/>
      <c r="B663" s="73"/>
      <c r="C663" s="71"/>
      <c r="D663" s="73"/>
      <c r="E663" s="50" t="str">
        <f t="shared" si="20"/>
        <v>;;;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2" customHeight="1" x14ac:dyDescent="0.25">
      <c r="A664" s="72"/>
      <c r="B664" s="73"/>
      <c r="C664" s="71"/>
      <c r="D664" s="73"/>
      <c r="E664" s="50" t="str">
        <f t="shared" si="20"/>
        <v>;;;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2" customHeight="1" x14ac:dyDescent="0.25">
      <c r="A665" s="72"/>
      <c r="B665" s="73"/>
      <c r="C665" s="71"/>
      <c r="D665" s="73"/>
      <c r="E665" s="50" t="str">
        <f t="shared" si="20"/>
        <v>;;;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2" customHeight="1" x14ac:dyDescent="0.25">
      <c r="A666" s="72"/>
      <c r="B666" s="73"/>
      <c r="C666" s="71"/>
      <c r="D666" s="73"/>
      <c r="E666" s="50" t="str">
        <f t="shared" si="20"/>
        <v>;;;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2" customHeight="1" x14ac:dyDescent="0.25">
      <c r="A667" s="72"/>
      <c r="B667" s="73"/>
      <c r="C667" s="71"/>
      <c r="D667" s="73"/>
      <c r="E667" s="50" t="str">
        <f t="shared" si="20"/>
        <v>;;;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2" customHeight="1" x14ac:dyDescent="0.25">
      <c r="A668" s="72"/>
      <c r="B668" s="73"/>
      <c r="C668" s="71"/>
      <c r="D668" s="73"/>
      <c r="E668" s="50" t="str">
        <f t="shared" si="20"/>
        <v>;;;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2" customHeight="1" x14ac:dyDescent="0.25">
      <c r="A669" s="72"/>
      <c r="B669" s="73"/>
      <c r="C669" s="71"/>
      <c r="D669" s="73"/>
      <c r="E669" s="50" t="str">
        <f t="shared" si="20"/>
        <v>;;;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2" customHeight="1" x14ac:dyDescent="0.25">
      <c r="A670" s="72"/>
      <c r="B670" s="73"/>
      <c r="C670" s="71"/>
      <c r="D670" s="73"/>
      <c r="E670" s="50" t="str">
        <f t="shared" si="20"/>
        <v>;;;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2" customHeight="1" x14ac:dyDescent="0.25">
      <c r="A671" s="72"/>
      <c r="B671" s="73"/>
      <c r="C671" s="71"/>
      <c r="D671" s="73"/>
      <c r="E671" s="50" t="str">
        <f t="shared" si="20"/>
        <v>;;;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2" customHeight="1" x14ac:dyDescent="0.25">
      <c r="A672" s="72"/>
      <c r="B672" s="73"/>
      <c r="C672" s="71"/>
      <c r="D672" s="73"/>
      <c r="E672" s="50" t="str">
        <f t="shared" si="20"/>
        <v>;;;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2" customHeight="1" x14ac:dyDescent="0.25">
      <c r="A673" s="72"/>
      <c r="B673" s="73"/>
      <c r="C673" s="71"/>
      <c r="D673" s="73"/>
      <c r="E673" s="50" t="str">
        <f t="shared" si="20"/>
        <v>;;;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2" customHeight="1" x14ac:dyDescent="0.25">
      <c r="A674" s="72"/>
      <c r="B674" s="73"/>
      <c r="C674" s="71"/>
      <c r="D674" s="73"/>
      <c r="E674" s="50" t="str">
        <f t="shared" si="20"/>
        <v>;;;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2" customHeight="1" x14ac:dyDescent="0.25">
      <c r="A675" s="72"/>
      <c r="B675" s="73"/>
      <c r="C675" s="71"/>
      <c r="D675" s="73"/>
      <c r="E675" s="50" t="str">
        <f t="shared" si="20"/>
        <v>;;;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2" customHeight="1" x14ac:dyDescent="0.25">
      <c r="A676" s="72"/>
      <c r="B676" s="73"/>
      <c r="C676" s="71"/>
      <c r="D676" s="73"/>
      <c r="E676" s="50" t="str">
        <f t="shared" si="20"/>
        <v>;;;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2" customHeight="1" x14ac:dyDescent="0.25">
      <c r="A677" s="72"/>
      <c r="B677" s="73"/>
      <c r="C677" s="71"/>
      <c r="D677" s="73"/>
      <c r="E677" s="50" t="str">
        <f t="shared" si="20"/>
        <v>;;;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2" customHeight="1" x14ac:dyDescent="0.25">
      <c r="A678" s="72"/>
      <c r="B678" s="73"/>
      <c r="C678" s="71"/>
      <c r="D678" s="73"/>
      <c r="E678" s="50" t="str">
        <f t="shared" si="20"/>
        <v>;;;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2" customHeight="1" x14ac:dyDescent="0.25">
      <c r="A679" s="72"/>
      <c r="B679" s="73"/>
      <c r="C679" s="71"/>
      <c r="D679" s="73"/>
      <c r="E679" s="50" t="str">
        <f t="shared" si="20"/>
        <v>;;;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2" customHeight="1" x14ac:dyDescent="0.25">
      <c r="A680" s="72"/>
      <c r="B680" s="73"/>
      <c r="C680" s="71"/>
      <c r="D680" s="73"/>
      <c r="E680" s="50" t="str">
        <f t="shared" si="20"/>
        <v>;;;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2" customHeight="1" x14ac:dyDescent="0.25">
      <c r="A681" s="72"/>
      <c r="B681" s="73"/>
      <c r="C681" s="71"/>
      <c r="D681" s="73"/>
      <c r="E681" s="50" t="str">
        <f t="shared" si="20"/>
        <v>;;;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2" customHeight="1" x14ac:dyDescent="0.25">
      <c r="A682" s="72"/>
      <c r="B682" s="73"/>
      <c r="C682" s="71"/>
      <c r="D682" s="73"/>
      <c r="E682" s="50" t="str">
        <f t="shared" si="20"/>
        <v>;;;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2" customHeight="1" x14ac:dyDescent="0.25">
      <c r="A683" s="72"/>
      <c r="B683" s="73"/>
      <c r="C683" s="71"/>
      <c r="D683" s="73"/>
      <c r="E683" s="50" t="str">
        <f t="shared" si="20"/>
        <v>;;;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2" customHeight="1" x14ac:dyDescent="0.25">
      <c r="A684" s="72"/>
      <c r="B684" s="73"/>
      <c r="C684" s="71"/>
      <c r="D684" s="73"/>
      <c r="E684" s="50" t="str">
        <f t="shared" si="20"/>
        <v>;;;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2" customHeight="1" x14ac:dyDescent="0.25">
      <c r="A685" s="72"/>
      <c r="B685" s="73"/>
      <c r="C685" s="71"/>
      <c r="D685" s="73"/>
      <c r="E685" s="50" t="str">
        <f t="shared" si="20"/>
        <v>;;;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2" customHeight="1" x14ac:dyDescent="0.25">
      <c r="A686" s="72"/>
      <c r="B686" s="73"/>
      <c r="C686" s="71"/>
      <c r="D686" s="73"/>
      <c r="E686" s="50" t="str">
        <f t="shared" si="20"/>
        <v>;;;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2" customHeight="1" x14ac:dyDescent="0.25">
      <c r="A687" s="72"/>
      <c r="B687" s="73"/>
      <c r="C687" s="71"/>
      <c r="D687" s="73"/>
      <c r="E687" s="50" t="str">
        <f t="shared" si="20"/>
        <v>;;;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2" customHeight="1" x14ac:dyDescent="0.25">
      <c r="A688" s="72"/>
      <c r="B688" s="73"/>
      <c r="C688" s="71"/>
      <c r="D688" s="73"/>
      <c r="E688" s="50" t="str">
        <f t="shared" si="20"/>
        <v>;;;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2" customHeight="1" x14ac:dyDescent="0.25">
      <c r="A689" s="72"/>
      <c r="B689" s="73"/>
      <c r="C689" s="71"/>
      <c r="D689" s="73"/>
      <c r="E689" s="50" t="str">
        <f t="shared" si="20"/>
        <v>;;;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2" customHeight="1" x14ac:dyDescent="0.25">
      <c r="A690" s="72"/>
      <c r="B690" s="73"/>
      <c r="C690" s="71"/>
      <c r="D690" s="73"/>
      <c r="E690" s="50" t="str">
        <f t="shared" si="20"/>
        <v>;;;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2" customHeight="1" x14ac:dyDescent="0.25">
      <c r="A691" s="72"/>
      <c r="B691" s="73"/>
      <c r="C691" s="71"/>
      <c r="D691" s="73"/>
      <c r="E691" s="50" t="str">
        <f t="shared" si="20"/>
        <v>;;;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2" customHeight="1" x14ac:dyDescent="0.25">
      <c r="A692" s="72"/>
      <c r="B692" s="73"/>
      <c r="C692" s="71"/>
      <c r="D692" s="73"/>
      <c r="E692" s="50" t="str">
        <f t="shared" si="20"/>
        <v>;;;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2" customHeight="1" x14ac:dyDescent="0.25">
      <c r="A693" s="72"/>
      <c r="B693" s="73"/>
      <c r="C693" s="71"/>
      <c r="D693" s="73"/>
      <c r="E693" s="50" t="str">
        <f t="shared" si="20"/>
        <v>;;;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2" customHeight="1" x14ac:dyDescent="0.25">
      <c r="A694" s="72"/>
      <c r="B694" s="73"/>
      <c r="C694" s="71"/>
      <c r="D694" s="73"/>
      <c r="E694" s="50" t="str">
        <f t="shared" si="20"/>
        <v>;;;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2" customHeight="1" x14ac:dyDescent="0.25">
      <c r="A695" s="72"/>
      <c r="B695" s="73"/>
      <c r="C695" s="71"/>
      <c r="D695" s="73"/>
      <c r="E695" s="50" t="str">
        <f t="shared" si="20"/>
        <v>;;;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2" customHeight="1" x14ac:dyDescent="0.25">
      <c r="A696" s="72"/>
      <c r="B696" s="73"/>
      <c r="C696" s="71"/>
      <c r="D696" s="73"/>
      <c r="E696" s="50" t="str">
        <f t="shared" si="20"/>
        <v>;;;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2" customHeight="1" x14ac:dyDescent="0.25">
      <c r="A697" s="72"/>
      <c r="B697" s="73"/>
      <c r="C697" s="71"/>
      <c r="D697" s="73"/>
      <c r="E697" s="50" t="str">
        <f t="shared" si="20"/>
        <v>;;;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2" customHeight="1" x14ac:dyDescent="0.25">
      <c r="A698" s="72"/>
      <c r="B698" s="73"/>
      <c r="C698" s="71"/>
      <c r="D698" s="73"/>
      <c r="E698" s="50" t="str">
        <f t="shared" si="20"/>
        <v>;;;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2" customHeight="1" x14ac:dyDescent="0.25">
      <c r="A699" s="72"/>
      <c r="B699" s="73"/>
      <c r="C699" s="71"/>
      <c r="D699" s="73"/>
      <c r="E699" s="50" t="str">
        <f t="shared" si="20"/>
        <v>;;;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2" customHeight="1" x14ac:dyDescent="0.25">
      <c r="A700" s="72"/>
      <c r="B700" s="73"/>
      <c r="C700" s="71"/>
      <c r="D700" s="73"/>
      <c r="E700" s="50" t="str">
        <f t="shared" si="20"/>
        <v>;;;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2" customHeight="1" x14ac:dyDescent="0.25">
      <c r="A701" s="72"/>
      <c r="B701" s="73"/>
      <c r="C701" s="71"/>
      <c r="D701" s="73"/>
      <c r="E701" s="50" t="str">
        <f t="shared" si="20"/>
        <v>;;;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2" customHeight="1" x14ac:dyDescent="0.25">
      <c r="A702" s="72"/>
      <c r="B702" s="73"/>
      <c r="C702" s="71"/>
      <c r="D702" s="73"/>
      <c r="E702" s="50" t="str">
        <f t="shared" si="20"/>
        <v>;;;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2" customHeight="1" x14ac:dyDescent="0.25">
      <c r="A703" s="72"/>
      <c r="B703" s="73"/>
      <c r="C703" s="71"/>
      <c r="D703" s="73"/>
      <c r="E703" s="50" t="str">
        <f t="shared" si="20"/>
        <v>;;;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2" customHeight="1" x14ac:dyDescent="0.25">
      <c r="A704" s="72"/>
      <c r="B704" s="73"/>
      <c r="C704" s="71"/>
      <c r="D704" s="73"/>
      <c r="E704" s="50" t="str">
        <f t="shared" si="20"/>
        <v>;;;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2" customHeight="1" x14ac:dyDescent="0.25">
      <c r="A705" s="72"/>
      <c r="B705" s="73"/>
      <c r="C705" s="71"/>
      <c r="D705" s="73"/>
      <c r="E705" s="50" t="str">
        <f t="shared" ref="E705:E765" si="22">LEFT(C705,IF(ISERROR(FIND(":",C705))=TRUE,LEN(C705),FIND(":",C705)-1)) &amp; ";" &amp; B705 &amp; ";" &amp; A705 &amp; ";" &amp;D705</f>
        <v>;;;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2" customHeight="1" x14ac:dyDescent="0.25">
      <c r="A706" s="72"/>
      <c r="B706" s="73"/>
      <c r="C706" s="71"/>
      <c r="D706" s="73"/>
      <c r="E706" s="50" t="str">
        <f t="shared" si="22"/>
        <v>;;;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2" customHeight="1" x14ac:dyDescent="0.25">
      <c r="A707" s="72"/>
      <c r="B707" s="73"/>
      <c r="C707" s="71"/>
      <c r="D707" s="73"/>
      <c r="E707" s="50" t="str">
        <f t="shared" si="22"/>
        <v>;;;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2" customHeight="1" x14ac:dyDescent="0.25">
      <c r="A708" s="72"/>
      <c r="B708" s="73"/>
      <c r="C708" s="71"/>
      <c r="D708" s="73"/>
      <c r="E708" s="50" t="str">
        <f t="shared" si="22"/>
        <v>;;;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2" customHeight="1" x14ac:dyDescent="0.25">
      <c r="A709" s="72"/>
      <c r="B709" s="73"/>
      <c r="C709" s="71"/>
      <c r="D709" s="73"/>
      <c r="E709" s="50" t="str">
        <f t="shared" si="22"/>
        <v>;;;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2" customHeight="1" x14ac:dyDescent="0.25">
      <c r="A710" s="72"/>
      <c r="B710" s="73"/>
      <c r="C710" s="71"/>
      <c r="D710" s="73"/>
      <c r="E710" s="50" t="str">
        <f t="shared" si="22"/>
        <v>;;;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2" customHeight="1" x14ac:dyDescent="0.25">
      <c r="A711" s="72"/>
      <c r="B711" s="73"/>
      <c r="C711" s="71"/>
      <c r="D711" s="73"/>
      <c r="E711" s="50" t="str">
        <f t="shared" si="22"/>
        <v>;;;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2" customHeight="1" x14ac:dyDescent="0.25">
      <c r="A712" s="72"/>
      <c r="B712" s="73"/>
      <c r="C712" s="71"/>
      <c r="D712" s="73"/>
      <c r="E712" s="50" t="str">
        <f t="shared" si="22"/>
        <v>;;;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2" customHeight="1" x14ac:dyDescent="0.25">
      <c r="A713" s="72"/>
      <c r="B713" s="73"/>
      <c r="C713" s="71"/>
      <c r="D713" s="73"/>
      <c r="E713" s="50" t="str">
        <f t="shared" si="22"/>
        <v>;;;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2" customHeight="1" x14ac:dyDescent="0.25">
      <c r="A714" s="72"/>
      <c r="B714" s="73"/>
      <c r="C714" s="71"/>
      <c r="D714" s="73"/>
      <c r="E714" s="50" t="str">
        <f t="shared" si="22"/>
        <v>;;;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2" customHeight="1" x14ac:dyDescent="0.25">
      <c r="A715" s="72"/>
      <c r="B715" s="73"/>
      <c r="C715" s="71"/>
      <c r="D715" s="73"/>
      <c r="E715" s="50" t="str">
        <f t="shared" si="22"/>
        <v>;;;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2" customHeight="1" x14ac:dyDescent="0.25">
      <c r="A716" s="72"/>
      <c r="B716" s="73"/>
      <c r="C716" s="71"/>
      <c r="D716" s="73"/>
      <c r="E716" s="50" t="str">
        <f t="shared" si="22"/>
        <v>;;;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2" customHeight="1" x14ac:dyDescent="0.25">
      <c r="A717" s="72"/>
      <c r="B717" s="73"/>
      <c r="C717" s="71"/>
      <c r="D717" s="73"/>
      <c r="E717" s="50" t="str">
        <f t="shared" si="22"/>
        <v>;;;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2" customHeight="1" x14ac:dyDescent="0.25">
      <c r="A718" s="72"/>
      <c r="B718" s="73"/>
      <c r="C718" s="71"/>
      <c r="D718" s="73"/>
      <c r="E718" s="50" t="str">
        <f t="shared" si="22"/>
        <v>;;;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2" customHeight="1" x14ac:dyDescent="0.25">
      <c r="A719" s="72"/>
      <c r="B719" s="73"/>
      <c r="C719" s="71"/>
      <c r="D719" s="73"/>
      <c r="E719" s="50" t="str">
        <f t="shared" si="22"/>
        <v>;;;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2" customHeight="1" x14ac:dyDescent="0.25">
      <c r="A720" s="72"/>
      <c r="B720" s="73"/>
      <c r="C720" s="71"/>
      <c r="D720" s="73"/>
      <c r="E720" s="50" t="str">
        <f t="shared" si="22"/>
        <v>;;;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2" customHeight="1" x14ac:dyDescent="0.25">
      <c r="A721" s="72"/>
      <c r="B721" s="73"/>
      <c r="C721" s="71"/>
      <c r="D721" s="73"/>
      <c r="E721" s="50" t="str">
        <f t="shared" si="22"/>
        <v>;;;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2" customHeight="1" x14ac:dyDescent="0.25">
      <c r="A722" s="72"/>
      <c r="B722" s="73"/>
      <c r="C722" s="71"/>
      <c r="D722" s="73"/>
      <c r="E722" s="50" t="str">
        <f t="shared" si="22"/>
        <v>;;;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2" customHeight="1" x14ac:dyDescent="0.25">
      <c r="A723" s="72"/>
      <c r="B723" s="73"/>
      <c r="C723" s="71"/>
      <c r="D723" s="73"/>
      <c r="E723" s="50" t="str">
        <f t="shared" si="22"/>
        <v>;;;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2" customHeight="1" x14ac:dyDescent="0.25">
      <c r="A724" s="72"/>
      <c r="B724" s="73"/>
      <c r="C724" s="71"/>
      <c r="D724" s="73"/>
      <c r="E724" s="50" t="str">
        <f t="shared" si="22"/>
        <v>;;;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2" customHeight="1" x14ac:dyDescent="0.25">
      <c r="A725" s="72"/>
      <c r="B725" s="73"/>
      <c r="C725" s="71"/>
      <c r="D725" s="73"/>
      <c r="E725" s="50" t="str">
        <f t="shared" si="22"/>
        <v>;;;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2" customHeight="1" x14ac:dyDescent="0.25">
      <c r="A726" s="72"/>
      <c r="B726" s="73"/>
      <c r="C726" s="71"/>
      <c r="D726" s="73"/>
      <c r="E726" s="50" t="str">
        <f t="shared" si="22"/>
        <v>;;;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2" customHeight="1" x14ac:dyDescent="0.25">
      <c r="A727" s="72"/>
      <c r="B727" s="73"/>
      <c r="C727" s="71"/>
      <c r="D727" s="73"/>
      <c r="E727" s="50" t="str">
        <f t="shared" si="22"/>
        <v>;;;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2" customHeight="1" x14ac:dyDescent="0.25">
      <c r="A728" s="72"/>
      <c r="B728" s="73"/>
      <c r="C728" s="71"/>
      <c r="D728" s="73"/>
      <c r="E728" s="50" t="str">
        <f t="shared" si="22"/>
        <v>;;;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2" customHeight="1" x14ac:dyDescent="0.25">
      <c r="A729" s="72"/>
      <c r="B729" s="73"/>
      <c r="C729" s="71"/>
      <c r="D729" s="73"/>
      <c r="E729" s="50" t="str">
        <f t="shared" si="22"/>
        <v>;;;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2" customHeight="1" x14ac:dyDescent="0.25">
      <c r="A730" s="72"/>
      <c r="B730" s="73"/>
      <c r="C730" s="71"/>
      <c r="D730" s="73"/>
      <c r="E730" s="50" t="str">
        <f t="shared" si="22"/>
        <v>;;;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2" customHeight="1" x14ac:dyDescent="0.25">
      <c r="A731" s="72"/>
      <c r="B731" s="73"/>
      <c r="C731" s="71"/>
      <c r="D731" s="73"/>
      <c r="E731" s="50" t="str">
        <f t="shared" si="22"/>
        <v>;;;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2" customHeight="1" x14ac:dyDescent="0.25">
      <c r="A732" s="72"/>
      <c r="B732" s="73"/>
      <c r="C732" s="71"/>
      <c r="D732" s="73"/>
      <c r="E732" s="50" t="str">
        <f t="shared" si="22"/>
        <v>;;;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2" customHeight="1" x14ac:dyDescent="0.25">
      <c r="A733" s="72"/>
      <c r="B733" s="73"/>
      <c r="C733" s="71"/>
      <c r="D733" s="73"/>
      <c r="E733" s="50" t="str">
        <f t="shared" si="22"/>
        <v>;;;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2" customHeight="1" x14ac:dyDescent="0.25">
      <c r="A734" s="72"/>
      <c r="B734" s="73"/>
      <c r="C734" s="71"/>
      <c r="D734" s="73"/>
      <c r="E734" s="50" t="str">
        <f t="shared" si="22"/>
        <v>;;;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2" customHeight="1" x14ac:dyDescent="0.25">
      <c r="A735" s="72"/>
      <c r="B735" s="73"/>
      <c r="C735" s="71"/>
      <c r="D735" s="73"/>
      <c r="E735" s="50" t="str">
        <f t="shared" si="22"/>
        <v>;;;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2" customHeight="1" x14ac:dyDescent="0.25">
      <c r="A736" s="72"/>
      <c r="B736" s="73"/>
      <c r="C736" s="71"/>
      <c r="D736" s="73"/>
      <c r="E736" s="50" t="str">
        <f t="shared" si="22"/>
        <v>;;;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2" customHeight="1" x14ac:dyDescent="0.25">
      <c r="A737" s="72"/>
      <c r="B737" s="73"/>
      <c r="C737" s="71"/>
      <c r="D737" s="73"/>
      <c r="E737" s="50" t="str">
        <f t="shared" si="22"/>
        <v>;;;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2" customHeight="1" x14ac:dyDescent="0.25">
      <c r="A738" s="72"/>
      <c r="B738" s="73"/>
      <c r="C738" s="71"/>
      <c r="D738" s="73"/>
      <c r="E738" s="50" t="str">
        <f t="shared" si="22"/>
        <v>;;;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2" customHeight="1" x14ac:dyDescent="0.25">
      <c r="A739" s="72"/>
      <c r="B739" s="73"/>
      <c r="C739" s="71"/>
      <c r="D739" s="73"/>
      <c r="E739" s="50" t="str">
        <f t="shared" si="22"/>
        <v>;;;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2" customHeight="1" x14ac:dyDescent="0.25">
      <c r="A740" s="72"/>
      <c r="B740" s="73"/>
      <c r="C740" s="71"/>
      <c r="D740" s="73"/>
      <c r="E740" s="50" t="str">
        <f t="shared" si="22"/>
        <v>;;;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2" customHeight="1" x14ac:dyDescent="0.25">
      <c r="A741" s="72"/>
      <c r="B741" s="73"/>
      <c r="C741" s="71"/>
      <c r="D741" s="73"/>
      <c r="E741" s="50" t="str">
        <f t="shared" si="22"/>
        <v>;;;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2" customHeight="1" x14ac:dyDescent="0.25">
      <c r="A742" s="72"/>
      <c r="B742" s="73"/>
      <c r="C742" s="71"/>
      <c r="D742" s="73"/>
      <c r="E742" s="50" t="str">
        <f t="shared" si="22"/>
        <v>;;;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2" customHeight="1" x14ac:dyDescent="0.25">
      <c r="A743" s="72"/>
      <c r="B743" s="73"/>
      <c r="C743" s="71"/>
      <c r="D743" s="73"/>
      <c r="E743" s="50" t="str">
        <f t="shared" si="22"/>
        <v>;;;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2" customHeight="1" x14ac:dyDescent="0.25">
      <c r="A744" s="72"/>
      <c r="B744" s="73"/>
      <c r="C744" s="71"/>
      <c r="D744" s="73"/>
      <c r="E744" s="50" t="str">
        <f t="shared" si="22"/>
        <v>;;;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2" customHeight="1" x14ac:dyDescent="0.25">
      <c r="A745" s="72"/>
      <c r="B745" s="73"/>
      <c r="C745" s="71"/>
      <c r="D745" s="73"/>
      <c r="E745" s="50" t="str">
        <f t="shared" si="22"/>
        <v>;;;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2" customHeight="1" x14ac:dyDescent="0.25">
      <c r="A746" s="72"/>
      <c r="B746" s="73"/>
      <c r="C746" s="71"/>
      <c r="D746" s="73"/>
      <c r="E746" s="50" t="str">
        <f t="shared" si="22"/>
        <v>;;;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2" customHeight="1" x14ac:dyDescent="0.25">
      <c r="A747" s="72"/>
      <c r="B747" s="73"/>
      <c r="C747" s="71"/>
      <c r="D747" s="73"/>
      <c r="E747" s="50" t="str">
        <f t="shared" si="22"/>
        <v>;;;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2" customHeight="1" x14ac:dyDescent="0.25">
      <c r="A748" s="72"/>
      <c r="B748" s="73"/>
      <c r="C748" s="71"/>
      <c r="D748" s="73"/>
      <c r="E748" s="50" t="str">
        <f t="shared" si="22"/>
        <v>;;;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2" customHeight="1" x14ac:dyDescent="0.25">
      <c r="A749" s="72"/>
      <c r="B749" s="73"/>
      <c r="C749" s="71"/>
      <c r="D749" s="73"/>
      <c r="E749" s="50" t="str">
        <f t="shared" si="22"/>
        <v>;;;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2" customHeight="1" x14ac:dyDescent="0.25">
      <c r="A750" s="72"/>
      <c r="B750" s="73"/>
      <c r="C750" s="71"/>
      <c r="D750" s="73"/>
      <c r="E750" s="50" t="str">
        <f t="shared" si="22"/>
        <v>;;;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2" customHeight="1" x14ac:dyDescent="0.25">
      <c r="A751" s="72"/>
      <c r="B751" s="73"/>
      <c r="C751" s="71"/>
      <c r="D751" s="73"/>
      <c r="E751" s="50" t="str">
        <f t="shared" si="22"/>
        <v>;;;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2" customHeight="1" x14ac:dyDescent="0.25">
      <c r="A752" s="72"/>
      <c r="B752" s="73"/>
      <c r="C752" s="71"/>
      <c r="D752" s="73"/>
      <c r="E752" s="50" t="str">
        <f t="shared" si="22"/>
        <v>;;;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2" customHeight="1" x14ac:dyDescent="0.25">
      <c r="A753" s="72"/>
      <c r="B753" s="73"/>
      <c r="C753" s="71"/>
      <c r="D753" s="73"/>
      <c r="E753" s="50" t="str">
        <f t="shared" si="22"/>
        <v>;;;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2" customHeight="1" x14ac:dyDescent="0.25">
      <c r="A754" s="72"/>
      <c r="B754" s="73"/>
      <c r="C754" s="71"/>
      <c r="D754" s="73"/>
      <c r="E754" s="50" t="str">
        <f t="shared" si="22"/>
        <v>;;;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2" customHeight="1" x14ac:dyDescent="0.25">
      <c r="A755" s="72"/>
      <c r="B755" s="73"/>
      <c r="C755" s="71"/>
      <c r="D755" s="73"/>
      <c r="E755" s="50" t="str">
        <f t="shared" si="22"/>
        <v>;;;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2" customHeight="1" x14ac:dyDescent="0.25">
      <c r="A756" s="72"/>
      <c r="B756" s="73"/>
      <c r="C756" s="71"/>
      <c r="D756" s="73"/>
      <c r="E756" s="50" t="str">
        <f t="shared" si="22"/>
        <v>;;;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2" customHeight="1" x14ac:dyDescent="0.25">
      <c r="A757" s="72"/>
      <c r="B757" s="73"/>
      <c r="C757" s="71"/>
      <c r="D757" s="73"/>
      <c r="E757" s="50" t="str">
        <f t="shared" si="22"/>
        <v>;;;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2" customHeight="1" x14ac:dyDescent="0.25">
      <c r="A758" s="72"/>
      <c r="B758" s="73"/>
      <c r="C758" s="71"/>
      <c r="D758" s="73"/>
      <c r="E758" s="50" t="str">
        <f t="shared" si="22"/>
        <v>;;;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2" customHeight="1" x14ac:dyDescent="0.25">
      <c r="A759" s="72"/>
      <c r="B759" s="73"/>
      <c r="C759" s="71"/>
      <c r="D759" s="73"/>
      <c r="E759" s="50" t="str">
        <f t="shared" si="22"/>
        <v>;;;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2" customHeight="1" x14ac:dyDescent="0.25">
      <c r="A760" s="72"/>
      <c r="B760" s="73"/>
      <c r="C760" s="71"/>
      <c r="D760" s="73"/>
      <c r="E760" s="50" t="str">
        <f t="shared" si="22"/>
        <v>;;;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2" customHeight="1" x14ac:dyDescent="0.25">
      <c r="A761" s="72"/>
      <c r="B761" s="73"/>
      <c r="C761" s="71"/>
      <c r="D761" s="73"/>
      <c r="E761" s="50" t="str">
        <f t="shared" si="22"/>
        <v>;;;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2" customHeight="1" x14ac:dyDescent="0.25">
      <c r="A762" s="72"/>
      <c r="B762" s="73"/>
      <c r="C762" s="71"/>
      <c r="D762" s="73"/>
      <c r="E762" s="50" t="str">
        <f t="shared" si="22"/>
        <v>;;;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2" customHeight="1" x14ac:dyDescent="0.25">
      <c r="A763" s="72"/>
      <c r="B763" s="73"/>
      <c r="C763" s="71"/>
      <c r="D763" s="73"/>
      <c r="E763" s="50" t="str">
        <f t="shared" si="22"/>
        <v>;;;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2" customHeight="1" x14ac:dyDescent="0.25">
      <c r="A764" s="72"/>
      <c r="B764" s="73"/>
      <c r="C764" s="71"/>
      <c r="D764" s="73"/>
      <c r="E764" s="50" t="str">
        <f t="shared" si="22"/>
        <v>;;;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2" customHeight="1" x14ac:dyDescent="0.25">
      <c r="A765" s="72"/>
      <c r="B765" s="73"/>
      <c r="C765" s="71"/>
      <c r="D765" s="73"/>
      <c r="E765" s="50" t="str">
        <f t="shared" si="22"/>
        <v>;;;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2" customHeight="1" x14ac:dyDescent="0.25">
      <c r="A766" s="72"/>
      <c r="B766" s="73"/>
      <c r="C766" s="71"/>
      <c r="D766" s="73"/>
      <c r="F766" s="50" t="b">
        <f t="shared" si="23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2" customHeight="1" x14ac:dyDescent="0.25">
      <c r="A767" s="72"/>
      <c r="B767" s="73"/>
      <c r="C767" s="71"/>
      <c r="D767" s="73"/>
      <c r="F767" s="50" t="b">
        <f t="shared" si="23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2" customHeight="1" x14ac:dyDescent="0.25">
      <c r="A768" s="72"/>
      <c r="B768" s="73"/>
      <c r="C768" s="71"/>
      <c r="D768" s="73"/>
      <c r="F768" s="50" t="b">
        <f t="shared" si="23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2" customHeight="1" x14ac:dyDescent="0.25">
      <c r="A769" s="72"/>
      <c r="B769" s="73"/>
      <c r="C769" s="71"/>
      <c r="D769" s="73"/>
      <c r="F769" s="50" t="b">
        <f t="shared" ref="F769:F832" si="24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2" customHeight="1" x14ac:dyDescent="0.25">
      <c r="A770" s="72"/>
      <c r="B770" s="73"/>
      <c r="C770" s="71"/>
      <c r="D770" s="73"/>
      <c r="F770" s="50" t="b">
        <f t="shared" si="24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2" customHeight="1" x14ac:dyDescent="0.25">
      <c r="A771" s="72"/>
      <c r="B771" s="73"/>
      <c r="C771" s="71"/>
      <c r="D771" s="73"/>
      <c r="F771" s="50" t="b">
        <f t="shared" si="24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2" customHeight="1" x14ac:dyDescent="0.25">
      <c r="A772" s="72"/>
      <c r="B772" s="73"/>
      <c r="C772" s="71"/>
      <c r="D772" s="73"/>
      <c r="F772" s="50" t="b">
        <f t="shared" si="24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2" customHeight="1" x14ac:dyDescent="0.25">
      <c r="A773" s="72"/>
      <c r="B773" s="73"/>
      <c r="C773" s="71"/>
      <c r="D773" s="73"/>
      <c r="F773" s="50" t="b">
        <f t="shared" si="24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2" customHeight="1" x14ac:dyDescent="0.25">
      <c r="A774" s="72"/>
      <c r="B774" s="73"/>
      <c r="C774" s="71"/>
      <c r="D774" s="73"/>
      <c r="F774" s="50" t="b">
        <f t="shared" si="24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2" customHeight="1" x14ac:dyDescent="0.25">
      <c r="A775" s="72"/>
      <c r="B775" s="73"/>
      <c r="C775" s="71"/>
      <c r="D775" s="73"/>
      <c r="F775" s="50" t="b">
        <f t="shared" si="24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2" customHeight="1" x14ac:dyDescent="0.25">
      <c r="A776" s="72"/>
      <c r="B776" s="73"/>
      <c r="C776" s="71"/>
      <c r="D776" s="73"/>
      <c r="F776" s="50" t="b">
        <f t="shared" si="24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2" customHeight="1" x14ac:dyDescent="0.25">
      <c r="A777" s="72"/>
      <c r="B777" s="73"/>
      <c r="C777" s="71"/>
      <c r="D777" s="73"/>
      <c r="F777" s="50" t="b">
        <f t="shared" si="24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2" customHeight="1" x14ac:dyDescent="0.25">
      <c r="A778" s="72"/>
      <c r="B778" s="73"/>
      <c r="C778" s="71"/>
      <c r="D778" s="73"/>
      <c r="F778" s="50" t="b">
        <f t="shared" si="24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2" customHeight="1" x14ac:dyDescent="0.25">
      <c r="A779" s="72"/>
      <c r="B779" s="73"/>
      <c r="C779" s="71"/>
      <c r="D779" s="73"/>
      <c r="F779" s="50" t="b">
        <f t="shared" si="24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2" customHeight="1" x14ac:dyDescent="0.25">
      <c r="A780" s="72"/>
      <c r="B780" s="73"/>
      <c r="C780" s="71"/>
      <c r="D780" s="73"/>
      <c r="F780" s="50" t="b">
        <f t="shared" si="24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2" customHeight="1" x14ac:dyDescent="0.25">
      <c r="A781" s="72"/>
      <c r="B781" s="73"/>
      <c r="C781" s="71"/>
      <c r="D781" s="73"/>
      <c r="F781" s="50" t="b">
        <f t="shared" si="24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2" customHeight="1" x14ac:dyDescent="0.25">
      <c r="A782" s="72"/>
      <c r="B782" s="73"/>
      <c r="C782" s="71"/>
      <c r="D782" s="73"/>
      <c r="F782" s="50" t="b">
        <f t="shared" si="24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2" customHeight="1" x14ac:dyDescent="0.25">
      <c r="A783" s="72"/>
      <c r="B783" s="73"/>
      <c r="C783" s="71"/>
      <c r="D783" s="73"/>
      <c r="F783" s="50" t="b">
        <f t="shared" si="24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2" customHeight="1" x14ac:dyDescent="0.25">
      <c r="A784" s="72"/>
      <c r="B784" s="73"/>
      <c r="C784" s="71"/>
      <c r="D784" s="73"/>
      <c r="F784" s="50" t="b">
        <f t="shared" si="24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1:8" ht="16.2" customHeight="1" x14ac:dyDescent="0.25">
      <c r="A785" s="72"/>
      <c r="B785" s="73"/>
      <c r="C785" s="71"/>
      <c r="D785" s="73"/>
      <c r="F785" s="50" t="b">
        <f t="shared" si="24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1:8" ht="16.2" customHeight="1" x14ac:dyDescent="0.25">
      <c r="A786" s="72"/>
      <c r="B786" s="73"/>
      <c r="C786" s="71"/>
      <c r="D786" s="73"/>
      <c r="F786" s="50" t="b">
        <f t="shared" si="24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1:8" ht="16.2" customHeight="1" x14ac:dyDescent="0.25">
      <c r="A787" s="72"/>
      <c r="B787" s="73"/>
      <c r="C787" s="71"/>
      <c r="D787" s="73"/>
      <c r="F787" s="50" t="b">
        <f t="shared" si="24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1:8" ht="16.2" customHeight="1" x14ac:dyDescent="0.25">
      <c r="A788" s="72"/>
      <c r="B788" s="73"/>
      <c r="C788" s="71"/>
      <c r="D788" s="73"/>
      <c r="F788" s="50" t="b">
        <f t="shared" si="24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1:8" ht="16.2" customHeight="1" x14ac:dyDescent="0.25">
      <c r="A789" s="72"/>
      <c r="B789" s="73"/>
      <c r="C789" s="71"/>
      <c r="D789" s="73"/>
      <c r="F789" s="50" t="b">
        <f t="shared" si="24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1:8" ht="16.2" customHeight="1" x14ac:dyDescent="0.25">
      <c r="A790" s="72"/>
      <c r="B790" s="73"/>
      <c r="C790" s="71"/>
      <c r="D790" s="73"/>
      <c r="F790" s="50" t="b">
        <f t="shared" si="24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1:8" ht="16.2" customHeight="1" x14ac:dyDescent="0.25">
      <c r="A791" s="72"/>
      <c r="B791" s="73"/>
      <c r="C791" s="71"/>
      <c r="D791" s="73"/>
      <c r="F791" s="50" t="b">
        <f t="shared" si="24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1:8" ht="16.2" customHeight="1" x14ac:dyDescent="0.25">
      <c r="A792" s="72"/>
      <c r="B792" s="73"/>
      <c r="C792" s="71"/>
      <c r="D792" s="73"/>
      <c r="F792" s="50" t="b">
        <f t="shared" si="24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1:8" ht="16.2" customHeight="1" x14ac:dyDescent="0.25">
      <c r="A793" s="72"/>
      <c r="B793" s="73"/>
      <c r="C793" s="71"/>
      <c r="D793" s="73"/>
      <c r="F793" s="50" t="b">
        <f t="shared" si="24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1:8" ht="16.2" customHeight="1" x14ac:dyDescent="0.25">
      <c r="A794" s="72"/>
      <c r="B794" s="73"/>
      <c r="C794" s="71"/>
      <c r="D794" s="73"/>
      <c r="F794" s="50" t="b">
        <f t="shared" si="24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1:8" ht="16.2" customHeight="1" x14ac:dyDescent="0.25">
      <c r="A795" s="72"/>
      <c r="B795" s="73"/>
      <c r="C795" s="71"/>
      <c r="D795" s="73"/>
      <c r="F795" s="50" t="b">
        <f t="shared" si="24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1:8" ht="16.2" customHeight="1" x14ac:dyDescent="0.25">
      <c r="A796" s="72"/>
      <c r="B796" s="73"/>
      <c r="C796" s="71"/>
      <c r="D796" s="73"/>
      <c r="F796" s="50" t="b">
        <f t="shared" si="24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1:8" ht="16.2" customHeight="1" x14ac:dyDescent="0.25">
      <c r="A797" s="72"/>
      <c r="B797" s="73"/>
      <c r="C797" s="71"/>
      <c r="D797" s="73"/>
      <c r="F797" s="50" t="b">
        <f t="shared" si="24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1:8" ht="16.2" customHeight="1" x14ac:dyDescent="0.25">
      <c r="A798" s="72"/>
      <c r="B798" s="73"/>
      <c r="C798" s="71"/>
      <c r="D798" s="73"/>
      <c r="F798" s="50" t="b">
        <f t="shared" si="24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1:8" ht="16.2" customHeight="1" x14ac:dyDescent="0.25">
      <c r="A799" s="72"/>
      <c r="B799" s="73"/>
      <c r="C799" s="71"/>
      <c r="D799" s="73"/>
      <c r="F799" s="50" t="b">
        <f t="shared" si="24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1:8" ht="16.2" customHeight="1" x14ac:dyDescent="0.25">
      <c r="A800" s="72"/>
      <c r="B800" s="73"/>
      <c r="C800" s="71"/>
      <c r="D800" s="73"/>
      <c r="F800" s="50" t="b">
        <f t="shared" si="24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1:8" ht="16.2" customHeight="1" x14ac:dyDescent="0.25">
      <c r="A801" s="72"/>
      <c r="B801" s="73"/>
      <c r="C801" s="71"/>
      <c r="D801" s="73"/>
      <c r="F801" s="50" t="b">
        <f t="shared" si="24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1:8" ht="16.2" customHeight="1" x14ac:dyDescent="0.25">
      <c r="A802" s="72"/>
      <c r="B802" s="73"/>
      <c r="C802" s="71"/>
      <c r="D802" s="73"/>
      <c r="F802" s="50" t="b">
        <f t="shared" si="24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1:8" ht="16.2" customHeight="1" x14ac:dyDescent="0.25">
      <c r="A803" s="72"/>
      <c r="B803" s="73"/>
      <c r="C803" s="71"/>
      <c r="D803" s="73"/>
      <c r="F803" s="50" t="b">
        <f t="shared" si="24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1:8" ht="16.2" customHeight="1" x14ac:dyDescent="0.25">
      <c r="A804" s="72"/>
      <c r="B804" s="73"/>
      <c r="C804" s="71"/>
      <c r="D804" s="73"/>
      <c r="F804" s="50" t="b">
        <f t="shared" si="24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1:8" ht="16.2" customHeight="1" x14ac:dyDescent="0.25">
      <c r="A805" s="72"/>
      <c r="B805" s="73"/>
      <c r="C805" s="71"/>
      <c r="D805" s="73"/>
      <c r="F805" s="50" t="b">
        <f t="shared" si="24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1:8" ht="16.2" customHeight="1" x14ac:dyDescent="0.25">
      <c r="A806" s="72"/>
      <c r="B806" s="73"/>
      <c r="C806" s="71"/>
      <c r="D806" s="73"/>
      <c r="F806" s="50" t="b">
        <f t="shared" si="24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1:8" ht="16.2" customHeight="1" x14ac:dyDescent="0.25">
      <c r="A807" s="72"/>
      <c r="B807" s="73"/>
      <c r="C807" s="71"/>
      <c r="D807" s="73"/>
      <c r="F807" s="50" t="b">
        <f t="shared" si="24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1:8" ht="16.2" customHeight="1" x14ac:dyDescent="0.25">
      <c r="A808" s="72"/>
      <c r="B808" s="73"/>
      <c r="C808" s="71"/>
      <c r="D808" s="73"/>
      <c r="F808" s="50" t="b">
        <f t="shared" si="24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1:8" ht="16.2" customHeight="1" x14ac:dyDescent="0.25">
      <c r="A809" s="72"/>
      <c r="B809" s="73"/>
      <c r="C809" s="71"/>
      <c r="D809" s="73"/>
      <c r="F809" s="50" t="b">
        <f t="shared" si="24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1:8" ht="16.2" customHeight="1" x14ac:dyDescent="0.25">
      <c r="A810" s="72"/>
      <c r="B810" s="73"/>
      <c r="C810" s="71"/>
      <c r="D810" s="73"/>
      <c r="F810" s="50" t="b">
        <f t="shared" si="24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1:8" ht="16.2" customHeight="1" x14ac:dyDescent="0.25">
      <c r="A811" s="72"/>
      <c r="B811" s="73"/>
      <c r="C811" s="71"/>
      <c r="D811" s="73"/>
      <c r="F811" s="50" t="b">
        <f t="shared" si="24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1:8" ht="16.2" customHeight="1" x14ac:dyDescent="0.25">
      <c r="A812" s="72"/>
      <c r="B812" s="73"/>
      <c r="C812" s="71"/>
      <c r="D812" s="73"/>
      <c r="F812" s="50" t="b">
        <f t="shared" si="24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1:8" ht="16.2" customHeight="1" x14ac:dyDescent="0.25">
      <c r="A813" s="72"/>
      <c r="B813" s="73"/>
      <c r="C813" s="71"/>
      <c r="D813" s="73"/>
      <c r="F813" s="50" t="b">
        <f t="shared" si="24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1:8" ht="16.2" customHeight="1" x14ac:dyDescent="0.25">
      <c r="A814" s="72"/>
      <c r="B814" s="73"/>
      <c r="C814" s="71"/>
      <c r="D814" s="73"/>
      <c r="F814" s="50" t="b">
        <f t="shared" si="24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1:8" ht="16.2" customHeight="1" x14ac:dyDescent="0.25">
      <c r="A815" s="72"/>
      <c r="B815" s="73"/>
      <c r="C815" s="71"/>
      <c r="D815" s="73"/>
      <c r="F815" s="50" t="b">
        <f t="shared" si="24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1:8" ht="16.2" customHeight="1" x14ac:dyDescent="0.25">
      <c r="A816" s="72"/>
      <c r="B816" s="73"/>
      <c r="C816" s="71"/>
      <c r="D816" s="73"/>
      <c r="F816" s="50" t="b">
        <f t="shared" si="24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1:8" ht="16.2" customHeight="1" x14ac:dyDescent="0.25">
      <c r="A817" s="72"/>
      <c r="B817" s="73"/>
      <c r="C817" s="71"/>
      <c r="D817" s="73"/>
      <c r="F817" s="50" t="b">
        <f t="shared" si="24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1:8" ht="16.2" customHeight="1" x14ac:dyDescent="0.25">
      <c r="A818" s="72"/>
      <c r="B818" s="73"/>
      <c r="C818" s="71"/>
      <c r="D818" s="73"/>
      <c r="F818" s="50" t="b">
        <f t="shared" si="24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1:8" ht="16.2" customHeight="1" x14ac:dyDescent="0.25">
      <c r="A819" s="61"/>
      <c r="B819" s="62"/>
      <c r="C819" s="60"/>
      <c r="D819" s="62"/>
      <c r="F819" s="50" t="b">
        <f t="shared" si="24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1:8" ht="16.2" customHeight="1" x14ac:dyDescent="0.25">
      <c r="A820" s="61"/>
      <c r="B820" s="62"/>
      <c r="C820" s="60"/>
      <c r="D820" s="62"/>
      <c r="F820" s="50" t="b">
        <f t="shared" si="24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1:8" ht="16.2" customHeight="1" x14ac:dyDescent="0.25">
      <c r="A821" s="61"/>
      <c r="B821" s="62"/>
      <c r="C821" s="60"/>
      <c r="D821" s="62"/>
      <c r="F821" s="50" t="b">
        <f t="shared" si="24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1:8" ht="16.2" customHeight="1" x14ac:dyDescent="0.25">
      <c r="A822" s="61"/>
      <c r="B822" s="62"/>
      <c r="C822" s="60"/>
      <c r="D822" s="62"/>
      <c r="F822" s="50" t="b">
        <f t="shared" si="24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1:8" ht="16.2" customHeight="1" x14ac:dyDescent="0.25">
      <c r="A823" s="61"/>
      <c r="B823" s="62"/>
      <c r="C823" s="60"/>
      <c r="D823" s="62"/>
      <c r="F823" s="50" t="b">
        <f t="shared" si="24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1:8" ht="16.2" customHeight="1" x14ac:dyDescent="0.25">
      <c r="A824" s="61"/>
      <c r="B824" s="62"/>
      <c r="C824" s="60"/>
      <c r="D824" s="62"/>
      <c r="F824" s="50" t="b">
        <f t="shared" si="24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1:8" ht="16.2" customHeight="1" x14ac:dyDescent="0.25">
      <c r="A825" s="61"/>
      <c r="B825" s="62"/>
      <c r="C825" s="60"/>
      <c r="D825" s="62"/>
      <c r="F825" s="50" t="b">
        <f t="shared" si="24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1:8" ht="16.2" customHeight="1" x14ac:dyDescent="0.25">
      <c r="A826" s="61"/>
      <c r="B826" s="62"/>
      <c r="C826" s="60"/>
      <c r="D826" s="62"/>
      <c r="F826" s="50" t="b">
        <f t="shared" si="24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1:8" ht="16.2" customHeight="1" x14ac:dyDescent="0.25">
      <c r="A827" s="61"/>
      <c r="B827" s="62"/>
      <c r="C827" s="60"/>
      <c r="D827" s="62"/>
      <c r="F827" s="50" t="b">
        <f t="shared" si="24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1:8" ht="16.2" customHeight="1" x14ac:dyDescent="0.25">
      <c r="A828" s="61"/>
      <c r="B828" s="62"/>
      <c r="C828" s="60"/>
      <c r="D828" s="62"/>
      <c r="F828" s="50" t="b">
        <f t="shared" si="24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1:8" ht="16.2" customHeight="1" x14ac:dyDescent="0.25">
      <c r="A829" s="61"/>
      <c r="B829" s="62"/>
      <c r="C829" s="60"/>
      <c r="D829" s="62"/>
      <c r="F829" s="50" t="b">
        <f t="shared" si="24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1:8" ht="16.2" customHeight="1" x14ac:dyDescent="0.25">
      <c r="A830" s="61"/>
      <c r="B830" s="62"/>
      <c r="C830" s="60"/>
      <c r="D830" s="62"/>
      <c r="F830" s="50" t="b">
        <f t="shared" si="24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1:8" ht="16.2" customHeight="1" x14ac:dyDescent="0.25">
      <c r="A831" s="61"/>
      <c r="B831" s="62"/>
      <c r="C831" s="60"/>
      <c r="D831" s="62"/>
      <c r="F831" s="50" t="b">
        <f t="shared" si="24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1:8" ht="16.2" customHeight="1" x14ac:dyDescent="0.25">
      <c r="A832" s="61"/>
      <c r="B832" s="62"/>
      <c r="C832" s="60"/>
      <c r="D832" s="62"/>
      <c r="F832" s="50" t="b">
        <f t="shared" si="24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1:8" ht="16.2" customHeight="1" x14ac:dyDescent="0.25">
      <c r="A833" s="61"/>
      <c r="B833" s="62"/>
      <c r="C833" s="60"/>
      <c r="D833" s="62"/>
      <c r="F833" s="50" t="b">
        <f t="shared" ref="F833:F896" si="25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1:8" ht="16.2" customHeight="1" x14ac:dyDescent="0.25">
      <c r="A834" s="61"/>
      <c r="B834" s="62"/>
      <c r="C834" s="60"/>
      <c r="D834" s="62"/>
      <c r="F834" s="50" t="b">
        <f t="shared" si="25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1:8" ht="16.2" customHeight="1" x14ac:dyDescent="0.25">
      <c r="A835" s="61"/>
      <c r="B835" s="62"/>
      <c r="C835" s="60"/>
      <c r="D835" s="62"/>
      <c r="F835" s="50" t="b">
        <f t="shared" si="25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1:8" ht="16.2" customHeight="1" x14ac:dyDescent="0.25">
      <c r="A836" s="61"/>
      <c r="B836" s="62"/>
      <c r="C836" s="60"/>
      <c r="D836" s="62"/>
      <c r="F836" s="50" t="b">
        <f t="shared" si="25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2" customHeight="1" x14ac:dyDescent="0.25">
      <c r="A837" s="61"/>
      <c r="B837" s="62"/>
      <c r="C837" s="60"/>
      <c r="D837" s="62"/>
      <c r="F837" s="50" t="b">
        <f t="shared" si="25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2" customHeight="1" x14ac:dyDescent="0.25">
      <c r="A838" s="61"/>
      <c r="B838" s="62"/>
      <c r="C838" s="60"/>
      <c r="D838" s="62"/>
      <c r="F838" s="50" t="b">
        <f t="shared" si="25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2" customHeight="1" x14ac:dyDescent="0.25">
      <c r="A839" s="61"/>
      <c r="B839" s="62"/>
      <c r="C839" s="60"/>
      <c r="D839" s="62"/>
      <c r="F839" s="50" t="b">
        <f t="shared" si="25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2" customHeight="1" x14ac:dyDescent="0.25">
      <c r="A840" s="61"/>
      <c r="B840" s="62"/>
      <c r="C840" s="60"/>
      <c r="D840" s="62"/>
      <c r="F840" s="50" t="b">
        <f t="shared" si="25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2" customHeight="1" x14ac:dyDescent="0.25">
      <c r="A841" s="61"/>
      <c r="B841" s="62"/>
      <c r="C841" s="60"/>
      <c r="D841" s="62"/>
      <c r="F841" s="50" t="b">
        <f t="shared" si="25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2" customHeight="1" x14ac:dyDescent="0.25">
      <c r="A842" s="61"/>
      <c r="B842" s="62"/>
      <c r="C842" s="60"/>
      <c r="D842" s="62"/>
      <c r="F842" s="50" t="b">
        <f t="shared" si="25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2" customHeight="1" x14ac:dyDescent="0.25">
      <c r="A843" s="61"/>
      <c r="B843" s="62"/>
      <c r="C843" s="60"/>
      <c r="D843" s="62"/>
      <c r="F843" s="50" t="b">
        <f t="shared" si="25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2" customHeight="1" x14ac:dyDescent="0.25">
      <c r="A844" s="61"/>
      <c r="B844" s="62"/>
      <c r="C844" s="60"/>
      <c r="D844" s="62"/>
      <c r="F844" s="50" t="b">
        <f t="shared" si="25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2" customHeight="1" x14ac:dyDescent="0.25">
      <c r="A845" s="61"/>
      <c r="B845" s="62"/>
      <c r="C845" s="60"/>
      <c r="D845" s="62"/>
      <c r="F845" s="50" t="b">
        <f t="shared" si="25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2" customHeight="1" x14ac:dyDescent="0.25">
      <c r="A846" s="61"/>
      <c r="B846" s="62"/>
      <c r="C846" s="60"/>
      <c r="D846" s="62"/>
      <c r="F846" s="50" t="b">
        <f t="shared" si="25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2" customHeight="1" x14ac:dyDescent="0.25">
      <c r="A847" s="61"/>
      <c r="B847" s="62"/>
      <c r="C847" s="60"/>
      <c r="D847" s="62"/>
      <c r="F847" s="50" t="b">
        <f t="shared" si="25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2" customHeight="1" x14ac:dyDescent="0.25">
      <c r="A848" s="61"/>
      <c r="B848" s="62"/>
      <c r="C848" s="60"/>
      <c r="D848" s="62"/>
      <c r="F848" s="50" t="b">
        <f t="shared" si="25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2" customHeight="1" x14ac:dyDescent="0.25">
      <c r="A849" s="61"/>
      <c r="B849" s="62"/>
      <c r="C849" s="60"/>
      <c r="D849" s="62"/>
      <c r="F849" s="50" t="b">
        <f t="shared" si="25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2" customHeight="1" x14ac:dyDescent="0.25">
      <c r="A850" s="61"/>
      <c r="B850" s="62"/>
      <c r="C850" s="60"/>
      <c r="D850" s="62"/>
      <c r="F850" s="50" t="b">
        <f t="shared" si="25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2" customHeight="1" x14ac:dyDescent="0.25">
      <c r="A851" s="61"/>
      <c r="B851" s="62"/>
      <c r="C851" s="60"/>
      <c r="D851" s="62"/>
      <c r="F851" s="50" t="b">
        <f t="shared" si="25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2" customHeight="1" x14ac:dyDescent="0.25">
      <c r="A852" s="61"/>
      <c r="B852" s="62"/>
      <c r="C852" s="60"/>
      <c r="D852" s="62"/>
      <c r="F852" s="50" t="b">
        <f t="shared" si="25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2" customHeight="1" x14ac:dyDescent="0.25">
      <c r="A853" s="61"/>
      <c r="B853" s="62"/>
      <c r="C853" s="60"/>
      <c r="D853" s="62"/>
      <c r="F853" s="50" t="b">
        <f t="shared" si="25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2" customHeight="1" x14ac:dyDescent="0.25">
      <c r="A854" s="61"/>
      <c r="B854" s="62"/>
      <c r="C854" s="60"/>
      <c r="D854" s="62"/>
      <c r="F854" s="50" t="b">
        <f t="shared" si="25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2" customHeight="1" x14ac:dyDescent="0.25">
      <c r="A855" s="61"/>
      <c r="B855" s="62"/>
      <c r="C855" s="60"/>
      <c r="D855" s="62"/>
      <c r="F855" s="50" t="b">
        <f t="shared" si="25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2" customHeight="1" x14ac:dyDescent="0.25">
      <c r="A856" s="61"/>
      <c r="B856" s="62"/>
      <c r="C856" s="60"/>
      <c r="D856" s="62"/>
      <c r="F856" s="50" t="b">
        <f t="shared" si="25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2" customHeight="1" x14ac:dyDescent="0.25">
      <c r="A857" s="61"/>
      <c r="B857" s="62"/>
      <c r="C857" s="60"/>
      <c r="D857" s="62"/>
      <c r="F857" s="50" t="b">
        <f t="shared" si="25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2" customHeight="1" x14ac:dyDescent="0.25">
      <c r="A858" s="61"/>
      <c r="B858" s="62"/>
      <c r="C858" s="60"/>
      <c r="D858" s="62"/>
      <c r="F858" s="50" t="b">
        <f t="shared" si="25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2" customHeight="1" x14ac:dyDescent="0.25">
      <c r="A859" s="61"/>
      <c r="B859" s="62"/>
      <c r="C859" s="60"/>
      <c r="D859" s="62"/>
      <c r="F859" s="50" t="b">
        <f t="shared" si="25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2" customHeight="1" x14ac:dyDescent="0.25">
      <c r="A860" s="61"/>
      <c r="B860" s="62"/>
      <c r="C860" s="60"/>
      <c r="D860" s="62"/>
      <c r="F860" s="50" t="b">
        <f t="shared" si="25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2" customHeight="1" x14ac:dyDescent="0.25">
      <c r="A861" s="61"/>
      <c r="B861" s="62"/>
      <c r="C861" s="60"/>
      <c r="D861" s="62"/>
      <c r="F861" s="50" t="b">
        <f t="shared" si="25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2" customHeight="1" x14ac:dyDescent="0.25">
      <c r="A862" s="61"/>
      <c r="B862" s="62"/>
      <c r="C862" s="60"/>
      <c r="D862" s="62"/>
      <c r="F862" s="50" t="b">
        <f t="shared" si="25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2" customHeight="1" x14ac:dyDescent="0.25">
      <c r="A863" s="61"/>
      <c r="B863" s="62"/>
      <c r="C863" s="60"/>
      <c r="D863" s="62"/>
      <c r="F863" s="50" t="b">
        <f t="shared" si="25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2" customHeight="1" x14ac:dyDescent="0.25">
      <c r="A864" s="61"/>
      <c r="B864" s="62"/>
      <c r="C864" s="60"/>
      <c r="D864" s="62"/>
      <c r="F864" s="50" t="b">
        <f t="shared" si="25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2" customHeight="1" x14ac:dyDescent="0.25">
      <c r="A865" s="61"/>
      <c r="B865" s="62"/>
      <c r="C865" s="60"/>
      <c r="D865" s="62"/>
      <c r="F865" s="50" t="b">
        <f t="shared" si="25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2" customHeight="1" x14ac:dyDescent="0.25">
      <c r="A866" s="61"/>
      <c r="B866" s="62"/>
      <c r="C866" s="60"/>
      <c r="D866" s="62"/>
      <c r="F866" s="50" t="b">
        <f t="shared" si="25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2" customHeight="1" x14ac:dyDescent="0.25">
      <c r="A867" s="61"/>
      <c r="B867" s="62"/>
      <c r="C867" s="60"/>
      <c r="D867" s="62"/>
      <c r="F867" s="50" t="b">
        <f t="shared" si="25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2" customHeight="1" x14ac:dyDescent="0.25">
      <c r="A868" s="61"/>
      <c r="B868" s="62"/>
      <c r="C868" s="60"/>
      <c r="D868" s="62"/>
      <c r="F868" s="50" t="b">
        <f t="shared" si="25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2" customHeight="1" x14ac:dyDescent="0.25">
      <c r="A869" s="61"/>
      <c r="B869" s="62"/>
      <c r="C869" s="60"/>
      <c r="D869" s="62"/>
      <c r="F869" s="50" t="b">
        <f t="shared" si="25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2" customHeight="1" x14ac:dyDescent="0.25">
      <c r="A870" s="61"/>
      <c r="B870" s="62"/>
      <c r="C870" s="60"/>
      <c r="D870" s="62"/>
      <c r="F870" s="50" t="b">
        <f t="shared" si="25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2" customHeight="1" x14ac:dyDescent="0.25">
      <c r="A871" s="61"/>
      <c r="B871" s="62"/>
      <c r="C871" s="60"/>
      <c r="D871" s="62"/>
      <c r="F871" s="50" t="b">
        <f t="shared" si="25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2" customHeight="1" x14ac:dyDescent="0.25">
      <c r="A872" s="61"/>
      <c r="B872" s="62"/>
      <c r="C872" s="60"/>
      <c r="D872" s="62"/>
      <c r="F872" s="50" t="b">
        <f t="shared" si="25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2" customHeight="1" x14ac:dyDescent="0.25">
      <c r="A873" s="61"/>
      <c r="B873" s="62"/>
      <c r="C873" s="60"/>
      <c r="D873" s="62"/>
      <c r="F873" s="50" t="b">
        <f t="shared" si="25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2" customHeight="1" x14ac:dyDescent="0.25">
      <c r="A874" s="61"/>
      <c r="B874" s="62"/>
      <c r="C874" s="60"/>
      <c r="D874" s="62"/>
      <c r="F874" s="50" t="b">
        <f t="shared" si="25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2" customHeight="1" x14ac:dyDescent="0.25">
      <c r="A875" s="61"/>
      <c r="B875" s="62"/>
      <c r="C875" s="60"/>
      <c r="D875" s="62"/>
      <c r="F875" s="50" t="b">
        <f t="shared" si="25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2" customHeight="1" x14ac:dyDescent="0.25">
      <c r="A876" s="61"/>
      <c r="B876" s="62"/>
      <c r="C876" s="60"/>
      <c r="D876" s="62"/>
      <c r="F876" s="50" t="b">
        <f t="shared" si="25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2" customHeight="1" x14ac:dyDescent="0.25">
      <c r="A877" s="61"/>
      <c r="B877" s="62"/>
      <c r="C877" s="60"/>
      <c r="D877" s="62"/>
      <c r="F877" s="50" t="b">
        <f t="shared" si="25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2" customHeight="1" x14ac:dyDescent="0.25">
      <c r="A878" s="61"/>
      <c r="B878" s="62"/>
      <c r="C878" s="60"/>
      <c r="D878" s="62"/>
      <c r="F878" s="50" t="b">
        <f t="shared" si="25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2" customHeight="1" x14ac:dyDescent="0.25">
      <c r="A879" s="61"/>
      <c r="B879" s="62"/>
      <c r="C879" s="60"/>
      <c r="D879" s="62"/>
      <c r="F879" s="50" t="b">
        <f t="shared" si="25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2" customHeight="1" x14ac:dyDescent="0.25">
      <c r="A880" s="61"/>
      <c r="B880" s="62"/>
      <c r="C880" s="60"/>
      <c r="D880" s="62"/>
      <c r="F880" s="50" t="b">
        <f t="shared" si="25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2" customHeight="1" x14ac:dyDescent="0.25">
      <c r="A881" s="61"/>
      <c r="B881" s="62"/>
      <c r="C881" s="60"/>
      <c r="D881" s="62"/>
      <c r="F881" s="50" t="b">
        <f t="shared" si="25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2" customHeight="1" x14ac:dyDescent="0.25">
      <c r="A882" s="61"/>
      <c r="B882" s="62"/>
      <c r="C882" s="60"/>
      <c r="D882" s="62"/>
      <c r="F882" s="50" t="b">
        <f t="shared" si="25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2" customHeight="1" x14ac:dyDescent="0.25">
      <c r="A883" s="61"/>
      <c r="B883" s="62"/>
      <c r="C883" s="60"/>
      <c r="D883" s="62"/>
      <c r="F883" s="50" t="b">
        <f t="shared" si="25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2" customHeight="1" x14ac:dyDescent="0.25">
      <c r="A884" s="61"/>
      <c r="B884" s="62"/>
      <c r="C884" s="60"/>
      <c r="D884" s="62"/>
      <c r="F884" s="50" t="b">
        <f t="shared" si="25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2" customHeight="1" x14ac:dyDescent="0.25">
      <c r="A885" s="61"/>
      <c r="B885" s="62"/>
      <c r="C885" s="60"/>
      <c r="D885" s="62"/>
      <c r="F885" s="50" t="b">
        <f t="shared" si="25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2" customHeight="1" x14ac:dyDescent="0.25">
      <c r="A886" s="61"/>
      <c r="B886" s="62"/>
      <c r="C886" s="60"/>
      <c r="D886" s="62"/>
      <c r="F886" s="50" t="b">
        <f t="shared" si="25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2" customHeight="1" x14ac:dyDescent="0.25">
      <c r="A887" s="61"/>
      <c r="B887" s="62"/>
      <c r="C887" s="60"/>
      <c r="D887" s="62"/>
      <c r="F887" s="50" t="b">
        <f t="shared" si="25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2" customHeight="1" x14ac:dyDescent="0.25">
      <c r="A888" s="61"/>
      <c r="B888" s="62"/>
      <c r="C888" s="60"/>
      <c r="D888" s="62"/>
      <c r="F888" s="50" t="b">
        <f t="shared" si="25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2" customHeight="1" x14ac:dyDescent="0.25">
      <c r="A889" s="61"/>
      <c r="B889" s="62"/>
      <c r="C889" s="60"/>
      <c r="D889" s="62"/>
      <c r="F889" s="50" t="b">
        <f t="shared" si="25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2" customHeight="1" x14ac:dyDescent="0.25">
      <c r="A890" s="61"/>
      <c r="B890" s="62"/>
      <c r="C890" s="60"/>
      <c r="D890" s="62"/>
      <c r="F890" s="50" t="b">
        <f t="shared" si="25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2" customHeight="1" x14ac:dyDescent="0.25">
      <c r="A891" s="61"/>
      <c r="B891" s="62"/>
      <c r="C891" s="60"/>
      <c r="D891" s="62"/>
      <c r="F891" s="50" t="b">
        <f t="shared" si="25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2" customHeight="1" x14ac:dyDescent="0.25">
      <c r="A892" s="61"/>
      <c r="B892" s="62"/>
      <c r="C892" s="60"/>
      <c r="D892" s="62"/>
      <c r="F892" s="50" t="b">
        <f t="shared" si="25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2" customHeight="1" x14ac:dyDescent="0.25">
      <c r="A893" s="61"/>
      <c r="B893" s="62"/>
      <c r="C893" s="60"/>
      <c r="D893" s="62"/>
      <c r="F893" s="50" t="b">
        <f t="shared" si="25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2" customHeight="1" x14ac:dyDescent="0.25">
      <c r="A894" s="61"/>
      <c r="B894" s="62"/>
      <c r="C894" s="60"/>
      <c r="D894" s="62"/>
      <c r="F894" s="50" t="b">
        <f t="shared" si="25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2" customHeight="1" x14ac:dyDescent="0.25">
      <c r="A895" s="61"/>
      <c r="B895" s="62"/>
      <c r="C895" s="60"/>
      <c r="D895" s="62"/>
      <c r="F895" s="50" t="b">
        <f t="shared" si="25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2" customHeight="1" x14ac:dyDescent="0.25">
      <c r="A896" s="61"/>
      <c r="B896" s="62"/>
      <c r="C896" s="60"/>
      <c r="D896" s="62"/>
      <c r="F896" s="50" t="b">
        <f t="shared" si="25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2" customHeight="1" x14ac:dyDescent="0.25">
      <c r="A897" s="61"/>
      <c r="B897" s="62"/>
      <c r="C897" s="60"/>
      <c r="D897" s="62"/>
      <c r="F897" s="50" t="b">
        <f t="shared" ref="F897:F960" si="26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2" customHeight="1" x14ac:dyDescent="0.25">
      <c r="A898" s="61"/>
      <c r="B898" s="62"/>
      <c r="C898" s="60"/>
      <c r="D898" s="62"/>
      <c r="F898" s="50" t="b">
        <f t="shared" si="26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2" customHeight="1" x14ac:dyDescent="0.25">
      <c r="A899" s="61"/>
      <c r="B899" s="62"/>
      <c r="C899" s="60"/>
      <c r="D899" s="62"/>
      <c r="F899" s="50" t="b">
        <f t="shared" si="26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2" customHeight="1" x14ac:dyDescent="0.25">
      <c r="A900" s="61"/>
      <c r="B900" s="62"/>
      <c r="C900" s="60"/>
      <c r="D900" s="62"/>
      <c r="F900" s="50" t="b">
        <f t="shared" si="26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2" customHeight="1" x14ac:dyDescent="0.25">
      <c r="A901" s="61"/>
      <c r="B901" s="62"/>
      <c r="C901" s="60"/>
      <c r="D901" s="62"/>
      <c r="F901" s="50" t="b">
        <f t="shared" si="26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2" customHeight="1" x14ac:dyDescent="0.25">
      <c r="A902" s="61"/>
      <c r="B902" s="62"/>
      <c r="C902" s="60"/>
      <c r="D902" s="62"/>
      <c r="F902" s="50" t="b">
        <f t="shared" si="26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2" customHeight="1" x14ac:dyDescent="0.25">
      <c r="A903" s="61"/>
      <c r="B903" s="62"/>
      <c r="C903" s="60"/>
      <c r="D903" s="62"/>
      <c r="F903" s="50" t="b">
        <f t="shared" si="26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2" customHeight="1" x14ac:dyDescent="0.25">
      <c r="A904" s="61"/>
      <c r="B904" s="62"/>
      <c r="C904" s="60"/>
      <c r="D904" s="62"/>
      <c r="F904" s="50" t="b">
        <f t="shared" si="26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2" customHeight="1" x14ac:dyDescent="0.25">
      <c r="A905" s="61"/>
      <c r="B905" s="62"/>
      <c r="C905" s="60"/>
      <c r="D905" s="62"/>
      <c r="F905" s="50" t="b">
        <f t="shared" si="26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2" customHeight="1" x14ac:dyDescent="0.25">
      <c r="A906" s="61"/>
      <c r="B906" s="62"/>
      <c r="C906" s="60"/>
      <c r="D906" s="62"/>
      <c r="F906" s="50" t="b">
        <f t="shared" si="26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2" customHeight="1" x14ac:dyDescent="0.25">
      <c r="A907" s="61"/>
      <c r="B907" s="62"/>
      <c r="C907" s="60"/>
      <c r="D907" s="62"/>
      <c r="F907" s="50" t="b">
        <f t="shared" si="26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2" customHeight="1" x14ac:dyDescent="0.25">
      <c r="A908" s="61"/>
      <c r="B908" s="62"/>
      <c r="C908" s="60"/>
      <c r="D908" s="62"/>
      <c r="F908" s="50" t="b">
        <f t="shared" si="26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2" customHeight="1" x14ac:dyDescent="0.25">
      <c r="A909" s="61"/>
      <c r="B909" s="62"/>
      <c r="C909" s="60"/>
      <c r="D909" s="62"/>
      <c r="F909" s="50" t="b">
        <f t="shared" si="26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2" customHeight="1" x14ac:dyDescent="0.25">
      <c r="A910" s="61"/>
      <c r="B910" s="62"/>
      <c r="C910" s="60"/>
      <c r="D910" s="62"/>
      <c r="F910" s="50" t="b">
        <f t="shared" si="26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2" customHeight="1" x14ac:dyDescent="0.25">
      <c r="A911" s="61"/>
      <c r="B911" s="62"/>
      <c r="C911" s="60"/>
      <c r="D911" s="62"/>
      <c r="F911" s="50" t="b">
        <f t="shared" si="26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2" customHeight="1" x14ac:dyDescent="0.25">
      <c r="A912" s="61"/>
      <c r="B912" s="62"/>
      <c r="C912" s="60"/>
      <c r="D912" s="62"/>
      <c r="F912" s="50" t="b">
        <f t="shared" si="26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2" customHeight="1" x14ac:dyDescent="0.25">
      <c r="A913" s="61"/>
      <c r="B913" s="62"/>
      <c r="C913" s="60"/>
      <c r="D913" s="62"/>
      <c r="F913" s="50" t="b">
        <f t="shared" si="26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2" customHeight="1" x14ac:dyDescent="0.25">
      <c r="A914" s="61"/>
      <c r="B914" s="62"/>
      <c r="C914" s="60"/>
      <c r="D914" s="62"/>
      <c r="F914" s="50" t="b">
        <f t="shared" si="26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2" customHeight="1" x14ac:dyDescent="0.25">
      <c r="A915" s="61"/>
      <c r="B915" s="62"/>
      <c r="C915" s="60"/>
      <c r="D915" s="62"/>
      <c r="F915" s="50" t="b">
        <f t="shared" si="26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2" customHeight="1" x14ac:dyDescent="0.25">
      <c r="A916" s="61"/>
      <c r="B916" s="62"/>
      <c r="C916" s="60"/>
      <c r="D916" s="62"/>
      <c r="F916" s="50" t="b">
        <f t="shared" si="26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2" customHeight="1" x14ac:dyDescent="0.25">
      <c r="A917" s="61"/>
      <c r="B917" s="62"/>
      <c r="C917" s="60"/>
      <c r="D917" s="62"/>
      <c r="F917" s="50" t="b">
        <f t="shared" si="26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2" customHeight="1" x14ac:dyDescent="0.25">
      <c r="A918" s="61"/>
      <c r="B918" s="62"/>
      <c r="C918" s="60"/>
      <c r="D918" s="62"/>
      <c r="F918" s="50" t="b">
        <f t="shared" si="26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2" customHeight="1" x14ac:dyDescent="0.25">
      <c r="A919" s="61"/>
      <c r="B919" s="62"/>
      <c r="C919" s="60"/>
      <c r="D919" s="62"/>
      <c r="F919" s="50" t="b">
        <f t="shared" si="26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2" customHeight="1" x14ac:dyDescent="0.25">
      <c r="A920" s="61"/>
      <c r="B920" s="62"/>
      <c r="C920" s="60"/>
      <c r="D920" s="62"/>
      <c r="F920" s="50" t="b">
        <f t="shared" si="26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2" customHeight="1" x14ac:dyDescent="0.25">
      <c r="A921" s="61"/>
      <c r="B921" s="62"/>
      <c r="C921" s="60"/>
      <c r="D921" s="62"/>
      <c r="F921" s="50" t="b">
        <f t="shared" si="26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2" customHeight="1" x14ac:dyDescent="0.25">
      <c r="A922" s="61"/>
      <c r="B922" s="62"/>
      <c r="C922" s="60"/>
      <c r="D922" s="62"/>
      <c r="F922" s="50" t="b">
        <f t="shared" si="26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2" customHeight="1" x14ac:dyDescent="0.25">
      <c r="A923" s="61"/>
      <c r="B923" s="62"/>
      <c r="C923" s="60"/>
      <c r="D923" s="62"/>
      <c r="F923" s="50" t="b">
        <f t="shared" si="26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2" customHeight="1" x14ac:dyDescent="0.25">
      <c r="A924" s="61"/>
      <c r="B924" s="62"/>
      <c r="C924" s="60"/>
      <c r="D924" s="62"/>
      <c r="F924" s="50" t="b">
        <f t="shared" si="26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2" customHeight="1" x14ac:dyDescent="0.25">
      <c r="A925" s="61"/>
      <c r="B925" s="62"/>
      <c r="C925" s="60"/>
      <c r="D925" s="62"/>
      <c r="F925" s="50" t="b">
        <f t="shared" si="26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2" customHeight="1" x14ac:dyDescent="0.25">
      <c r="A926" s="61"/>
      <c r="B926" s="62"/>
      <c r="C926" s="60"/>
      <c r="D926" s="62"/>
      <c r="F926" s="50" t="b">
        <f t="shared" si="26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2" customHeight="1" x14ac:dyDescent="0.25">
      <c r="A927" s="61"/>
      <c r="B927" s="62"/>
      <c r="C927" s="60"/>
      <c r="D927" s="62"/>
      <c r="F927" s="50" t="b">
        <f t="shared" si="26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2" customHeight="1" x14ac:dyDescent="0.25">
      <c r="A928" s="61"/>
      <c r="B928" s="62"/>
      <c r="C928" s="60"/>
      <c r="D928" s="62"/>
      <c r="F928" s="50" t="b">
        <f t="shared" si="26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2" customHeight="1" x14ac:dyDescent="0.25">
      <c r="A929" s="61"/>
      <c r="B929" s="62"/>
      <c r="C929" s="60"/>
      <c r="D929" s="62"/>
      <c r="F929" s="50" t="b">
        <f t="shared" si="26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2" customHeight="1" x14ac:dyDescent="0.25">
      <c r="A930" s="61"/>
      <c r="B930" s="62"/>
      <c r="C930" s="60"/>
      <c r="D930" s="62"/>
      <c r="F930" s="50" t="b">
        <f t="shared" si="26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2" customHeight="1" x14ac:dyDescent="0.25">
      <c r="A931" s="61"/>
      <c r="B931" s="62"/>
      <c r="C931" s="60"/>
      <c r="D931" s="62"/>
      <c r="F931" s="50" t="b">
        <f t="shared" si="26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2" customHeight="1" x14ac:dyDescent="0.25">
      <c r="A932" s="61"/>
      <c r="B932" s="62"/>
      <c r="C932" s="60"/>
      <c r="D932" s="62"/>
      <c r="F932" s="50" t="b">
        <f t="shared" si="26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2" customHeight="1" x14ac:dyDescent="0.25">
      <c r="A933" s="61"/>
      <c r="B933" s="62"/>
      <c r="C933" s="60"/>
      <c r="D933" s="62"/>
      <c r="F933" s="50" t="b">
        <f t="shared" si="26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2" customHeight="1" x14ac:dyDescent="0.25">
      <c r="A934" s="61"/>
      <c r="B934" s="62"/>
      <c r="C934" s="60"/>
      <c r="D934" s="62"/>
      <c r="F934" s="50" t="b">
        <f t="shared" si="26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2" customHeight="1" x14ac:dyDescent="0.25">
      <c r="A935" s="61"/>
      <c r="B935" s="62"/>
      <c r="C935" s="60"/>
      <c r="D935" s="62"/>
      <c r="F935" s="50" t="b">
        <f t="shared" si="26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2" customHeight="1" x14ac:dyDescent="0.25">
      <c r="A936" s="61"/>
      <c r="B936" s="62"/>
      <c r="C936" s="60"/>
      <c r="D936" s="62"/>
      <c r="F936" s="50" t="b">
        <f t="shared" si="26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2" customHeight="1" x14ac:dyDescent="0.25">
      <c r="A937" s="61"/>
      <c r="B937" s="62"/>
      <c r="C937" s="60"/>
      <c r="D937" s="62"/>
      <c r="F937" s="50" t="b">
        <f t="shared" si="26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2" customHeight="1" x14ac:dyDescent="0.25">
      <c r="A938" s="61"/>
      <c r="B938" s="62"/>
      <c r="C938" s="60"/>
      <c r="D938" s="62"/>
      <c r="F938" s="50" t="b">
        <f t="shared" si="26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2" customHeight="1" x14ac:dyDescent="0.25">
      <c r="A939" s="61"/>
      <c r="B939" s="62"/>
      <c r="C939" s="60"/>
      <c r="D939" s="62"/>
      <c r="F939" s="50" t="b">
        <f t="shared" si="26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2" customHeight="1" x14ac:dyDescent="0.25">
      <c r="A940" s="61"/>
      <c r="B940" s="62"/>
      <c r="C940" s="60"/>
      <c r="D940" s="62"/>
      <c r="F940" s="50" t="b">
        <f t="shared" si="26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2" customHeight="1" x14ac:dyDescent="0.25">
      <c r="A941" s="61"/>
      <c r="B941" s="62"/>
      <c r="C941" s="60"/>
      <c r="D941" s="62"/>
      <c r="F941" s="50" t="b">
        <f t="shared" si="26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2" customHeight="1" x14ac:dyDescent="0.25">
      <c r="A942" s="61"/>
      <c r="B942" s="62"/>
      <c r="C942" s="60"/>
      <c r="D942" s="62"/>
      <c r="F942" s="50" t="b">
        <f t="shared" si="26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2" customHeight="1" x14ac:dyDescent="0.25">
      <c r="A943" s="61"/>
      <c r="B943" s="62"/>
      <c r="C943" s="60"/>
      <c r="D943" s="62"/>
      <c r="F943" s="50" t="b">
        <f t="shared" si="26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2" customHeight="1" x14ac:dyDescent="0.25">
      <c r="A944" s="61"/>
      <c r="B944" s="62"/>
      <c r="C944" s="60"/>
      <c r="D944" s="62"/>
      <c r="F944" s="50" t="b">
        <f t="shared" si="26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2" customHeight="1" x14ac:dyDescent="0.25">
      <c r="A945" s="61"/>
      <c r="B945" s="62"/>
      <c r="C945" s="60"/>
      <c r="D945" s="62"/>
      <c r="F945" s="50" t="b">
        <f t="shared" si="26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2" customHeight="1" x14ac:dyDescent="0.25">
      <c r="A946" s="61"/>
      <c r="B946" s="62"/>
      <c r="C946" s="60"/>
      <c r="D946" s="62"/>
      <c r="F946" s="50" t="b">
        <f t="shared" si="26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2" customHeight="1" x14ac:dyDescent="0.25">
      <c r="A947" s="61"/>
      <c r="B947" s="62"/>
      <c r="C947" s="60"/>
      <c r="D947" s="62"/>
      <c r="F947" s="50" t="b">
        <f t="shared" si="26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2" customHeight="1" x14ac:dyDescent="0.25">
      <c r="A948" s="61"/>
      <c r="B948" s="62"/>
      <c r="C948" s="60"/>
      <c r="D948" s="62"/>
      <c r="F948" s="50" t="b">
        <f t="shared" si="26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2" customHeight="1" x14ac:dyDescent="0.25">
      <c r="A949" s="61"/>
      <c r="B949" s="62"/>
      <c r="C949" s="60"/>
      <c r="D949" s="62"/>
      <c r="F949" s="50" t="b">
        <f t="shared" si="26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2" customHeight="1" x14ac:dyDescent="0.25">
      <c r="A950" s="61"/>
      <c r="B950" s="62"/>
      <c r="C950" s="60"/>
      <c r="D950" s="62"/>
      <c r="F950" s="50" t="b">
        <f t="shared" si="26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2" customHeight="1" x14ac:dyDescent="0.25">
      <c r="A951" s="61"/>
      <c r="B951" s="62"/>
      <c r="C951" s="60"/>
      <c r="D951" s="62"/>
      <c r="F951" s="50" t="b">
        <f t="shared" si="26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2" customHeight="1" x14ac:dyDescent="0.25">
      <c r="A952" s="61"/>
      <c r="B952" s="62"/>
      <c r="C952" s="60"/>
      <c r="D952" s="62"/>
      <c r="F952" s="50" t="b">
        <f t="shared" si="26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2" customHeight="1" x14ac:dyDescent="0.25">
      <c r="A953" s="61"/>
      <c r="B953" s="62"/>
      <c r="C953" s="60"/>
      <c r="D953" s="62"/>
      <c r="F953" s="50" t="b">
        <f t="shared" si="26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2" customHeight="1" x14ac:dyDescent="0.25">
      <c r="A954" s="61"/>
      <c r="B954" s="62"/>
      <c r="C954" s="60"/>
      <c r="D954" s="62"/>
      <c r="F954" s="50" t="b">
        <f t="shared" si="26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2" customHeight="1" x14ac:dyDescent="0.25">
      <c r="A955" s="61"/>
      <c r="B955" s="62"/>
      <c r="C955" s="60"/>
      <c r="D955" s="62"/>
      <c r="F955" s="50" t="b">
        <f t="shared" si="26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2" customHeight="1" x14ac:dyDescent="0.25">
      <c r="A956" s="61"/>
      <c r="B956" s="62"/>
      <c r="C956" s="60"/>
      <c r="D956" s="62"/>
      <c r="F956" s="50" t="b">
        <f t="shared" si="26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2" customHeight="1" x14ac:dyDescent="0.25">
      <c r="A957" s="61"/>
      <c r="B957" s="62"/>
      <c r="C957" s="60"/>
      <c r="D957" s="62"/>
      <c r="F957" s="50" t="b">
        <f t="shared" si="26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2" customHeight="1" x14ac:dyDescent="0.25">
      <c r="A958" s="61"/>
      <c r="B958" s="62"/>
      <c r="C958" s="60"/>
      <c r="D958" s="62"/>
      <c r="F958" s="50" t="b">
        <f t="shared" si="26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2" customHeight="1" x14ac:dyDescent="0.25">
      <c r="A959" s="61"/>
      <c r="B959" s="62"/>
      <c r="C959" s="60"/>
      <c r="D959" s="62"/>
      <c r="F959" s="50" t="b">
        <f t="shared" si="26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2" customHeight="1" x14ac:dyDescent="0.25">
      <c r="A960" s="61"/>
      <c r="B960" s="62"/>
      <c r="C960" s="60"/>
      <c r="D960" s="62"/>
      <c r="F960" s="50" t="b">
        <f t="shared" si="26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2" customHeight="1" x14ac:dyDescent="0.25">
      <c r="A961" s="61"/>
      <c r="B961" s="62"/>
      <c r="C961" s="60"/>
      <c r="D961" s="62"/>
      <c r="F961" s="50" t="b">
        <f t="shared" ref="F961:F1024" si="27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2" customHeight="1" x14ac:dyDescent="0.25">
      <c r="A962" s="61"/>
      <c r="B962" s="62"/>
      <c r="C962" s="60"/>
      <c r="D962" s="62"/>
      <c r="F962" s="50" t="b">
        <f t="shared" si="27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2" customHeight="1" x14ac:dyDescent="0.25">
      <c r="F963" s="50" t="b">
        <f t="shared" si="27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2" customHeight="1" x14ac:dyDescent="0.25">
      <c r="F964" s="50" t="b">
        <f t="shared" si="27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2" customHeight="1" x14ac:dyDescent="0.25">
      <c r="F965" s="50" t="b">
        <f t="shared" si="27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2" customHeight="1" x14ac:dyDescent="0.25">
      <c r="F966" s="50" t="b">
        <f t="shared" si="27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2" customHeight="1" x14ac:dyDescent="0.25">
      <c r="F967" s="50" t="b">
        <f t="shared" si="27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2" customHeight="1" x14ac:dyDescent="0.25">
      <c r="F968" s="50" t="b">
        <f t="shared" si="27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2" customHeight="1" x14ac:dyDescent="0.25">
      <c r="F969" s="50" t="b">
        <f t="shared" si="27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2" customHeight="1" x14ac:dyDescent="0.25">
      <c r="F970" s="50" t="b">
        <f t="shared" si="27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2" customHeight="1" x14ac:dyDescent="0.25">
      <c r="F971" s="50" t="b">
        <f t="shared" si="27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2" customHeight="1" x14ac:dyDescent="0.25">
      <c r="F972" s="50" t="b">
        <f t="shared" si="27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2" customHeight="1" x14ac:dyDescent="0.25">
      <c r="F973" s="50" t="b">
        <f t="shared" si="27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2" customHeight="1" x14ac:dyDescent="0.25">
      <c r="F974" s="50" t="b">
        <f t="shared" si="27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2" customHeight="1" x14ac:dyDescent="0.25">
      <c r="F975" s="50" t="b">
        <f t="shared" si="27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2" customHeight="1" x14ac:dyDescent="0.25">
      <c r="F976" s="50" t="b">
        <f t="shared" si="27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27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27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27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27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27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27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27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27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27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27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27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27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27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27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27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27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27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27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27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27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27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27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27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27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27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27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27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27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27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27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27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27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27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27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27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27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27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27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27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27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27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27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27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27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27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27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27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27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28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28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28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28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28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28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28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28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28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28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28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28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28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28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28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28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28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28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28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28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28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28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28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28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28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28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28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28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28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28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28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28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28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28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28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28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28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28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28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28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28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28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28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28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28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28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28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28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28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28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28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28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28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28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28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28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28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28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28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28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28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28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28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28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29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29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29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29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29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29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29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29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29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29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29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29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29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29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29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29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29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29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29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29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29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29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29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29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29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29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29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29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29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29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29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29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29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29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29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29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29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29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29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29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29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29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29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29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29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29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29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29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29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29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29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29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29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29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29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29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29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29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29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29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29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29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29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29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29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2021-02-27T14:06:46Z</dcterms:modified>
</cp:coreProperties>
</file>